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9389c2eab84473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en" sheetId="1" r:id="R8d3194d2391f4ccc"/>
    <x:sheet xmlns:r="http://schemas.openxmlformats.org/officeDocument/2006/relationships" name="Kanban" sheetId="2" r:id="Ra77022e9a67c49fd"/>
    <x:sheet xmlns:r="http://schemas.openxmlformats.org/officeDocument/2006/relationships" name="Tareas" sheetId="3" r:id="R3f3c32a4386840fd"/>
    <x:sheet xmlns:r="http://schemas.openxmlformats.org/officeDocument/2006/relationships" name="Historias" sheetId="4" r:id="R9a80eb99dcbe4d8b"/>
    <x:sheet xmlns:r="http://schemas.openxmlformats.org/officeDocument/2006/relationships" name="Requisitos" sheetId="5" r:id="R71930719f29541c7"/>
    <x:sheet xmlns:r="http://schemas.openxmlformats.org/officeDocument/2006/relationships" name="Pruebas" sheetId="6" r:id="R35240aef10464761"/>
    <x:sheet xmlns:r="http://schemas.openxmlformats.org/officeDocument/2006/relationships" name="Sprints" sheetId="7" r:id="Rfe83acdaab9341d2"/>
    <x:sheet xmlns:r="http://schemas.openxmlformats.org/officeDocument/2006/relationships" name="Decisiones" sheetId="8" r:id="R83b848a12a6148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.0"/>
    <x:numFmt numFmtId="202" formatCode="0%"/>
  </x:numFmts>
  <x:fonts count="8">
    <x:font>
      <x:sz val="11"/>
      <x:name val="Carlito"/>
    </x:font>
    <x:font>
      <x:sz val="10"/>
      <x:color rgb="FF202B38"/>
      <x:name val="Arial"/>
    </x:font>
    <x:font>
      <x:b/>
      <x:sz val="15"/>
      <x:color rgb="FF202B38"/>
      <x:name val="Arial"/>
    </x:font>
    <x:font>
      <x:i/>
      <x:sz val="10"/>
      <x:color rgb="FF546170"/>
      <x:name val="Arial"/>
    </x:font>
    <x:font>
      <x:b/>
      <x:sz val="10"/>
      <x:color rgb="FFFFFFFF"/>
      <x:name val="Arial"/>
    </x:font>
    <x:font>
      <x:b/>
      <x:sz val="14"/>
      <x:color rgb="FF202B38"/>
      <x:name val="Arial"/>
    </x:font>
    <x:font>
      <x:sz val="10"/>
      <x:name val="Arial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4364B"/>
      </x:patternFill>
    </x:fill>
    <x:fill>
      <x:patternFill patternType="solid">
        <x:fgColor rgb="FFEDF2F7"/>
      </x:patternFill>
    </x:fill>
    <x:fill>
      <x:patternFill patternType="solid">
        <x:fgColor rgb="FFFFF3C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6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  <x:xf numFmtId="0" fontId="1" fillId="3" borderId="0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200" fontId="1" fillId="4" borderId="0" xfId="0" applyNumberFormat="1" applyFont="1" applyFill="1" applyBorder="1" applyAlignment="1">
      <x:alignment vertical="top" wrapText="1"/>
    </x:xf>
    <x:xf numFmtId="200" fontId="0" fillId="4" borderId="0" xfId="0" applyNumberFormat="1" applyFont="1" applyFill="1" applyBorder="1"/>
    <x:xf numFmtId="201" fontId="1" fillId="4" borderId="0" xfId="0" applyNumberFormat="1" applyFont="1" applyFill="1" applyBorder="1" applyAlignment="1">
      <x:alignment vertical="top" wrapText="1"/>
    </x:xf>
    <x:xf numFmtId="201" fontId="0" fillId="4" borderId="0" xfId="0" applyNumberFormat="1" applyFont="1" applyFill="1" applyBorder="1"/>
    <x:xf numFmtId="0" fontId="5" fillId="0" borderId="0" xfId="0" applyNumberFormat="1" applyFont="1" applyFill="1" applyBorder="1"/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top" wrapText="1"/>
    </x:xf>
    <x:xf numFmtId="200" fontId="1" fillId="3" borderId="0" xfId="0" applyNumberFormat="1" applyFont="1" applyFill="1" applyBorder="1" applyAlignment="1">
      <x:alignment vertical="top" wrapText="1"/>
    </x:xf>
    <x:xf numFmtId="200" fontId="1" fillId="0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202" fontId="1" fillId="0" borderId="0" xfId="0" applyNumberFormat="1" applyFont="1" applyFill="1" applyBorder="1" applyAlignment="1">
      <x:alignment vertical="top" wrapText="1"/>
    </x:xf>
    <x:xf numFmtId="0" fontId="0" fillId="2" borderId="0" xfId="0" applyNumberFormat="1" applyFont="1" applyFill="1" applyBorder="1" applyAlignment="1">
      <x:alignment wrapText="1"/>
    </x:xf>
    <x:xf numFmtId="0" fontId="7" fillId="2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2" fontId="1" fillId="0" borderId="0" xfId="0" applyNumberFormat="1" applyFont="1" applyFill="1" applyBorder="1" applyAlignment="1">
      <x:alignment vertical="center" wrapText="1"/>
    </x:xf>
    <x:xf numFmtId="200" fontId="1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/>
    </x:xf>
    <x:xf numFmtId="0" fontId="7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1">
    <x:dxf>
      <x:font>
        <x:color rgb="FF9C2424"/>
      </x:font>
      <x:fill>
        <x:patternFill patternType="solid">
          <x:bgColor rgb="FFFCE3E3"/>
        </x:patternFill>
      </x:fill>
    </x:dxf>
    <x:dxf>
      <x:fill>
        <x:patternFill patternType="solid">
          <x:bgColor rgb="FFFCE3E3"/>
        </x:patternFill>
      </x:fill>
    </x:dxf>
    <x:dxf>
      <x:fill>
        <x:patternFill patternType="solid">
          <x:bgColor rgb="FFE1EFFF"/>
        </x:patternFill>
      </x:fill>
    </x:dxf>
    <x:dxf>
      <x:fill>
        <x:patternFill patternType="solid">
          <x:bgColor rgb="FFE1F0E6"/>
        </x:patternFill>
      </x:fill>
    </x:dxf>
    <x:dxf>
      <x:fill>
        <x:patternFill patternType="solid">
          <x:bgColor rgb="FFEDF2F7"/>
        </x:patternFill>
      </x:fill>
    </x:dxf>
    <x:dxf>
      <x:fill>
        <x:patternFill patternType="solid">
          <x:bgColor rgb="FFEDF2F7"/>
        </x:patternFill>
      </x:fill>
    </x:dxf>
    <x:dxf>
      <x:fill>
        <x:patternFill patternType="solid">
          <x:bgColor rgb="FFEDF2F7"/>
        </x:patternFill>
      </x:fill>
    </x:dxf>
    <x:dxf>
      <x:fill>
        <x:patternFill patternType="solid">
          <x:bgColor rgb="FFEDF2F7"/>
        </x:patternFill>
      </x:fill>
    </x:dxf>
    <x:dxf>
      <x:fill>
        <x:patternFill patternType="solid">
          <x:bgColor rgb="FFE8F3EB"/>
        </x:patternFill>
      </x:fill>
    </x:dxf>
    <x:dxf>
      <x:fill>
        <x:patternFill patternType="solid">
          <x:bgColor rgb="FFFCE8E6"/>
        </x:patternFill>
      </x:fill>
    </x:dxf>
    <x:dxf>
      <x:font>
        <x:color rgb="FF9C2424"/>
      </x:font>
      <x:fill>
        <x:patternFill patternType="solid">
          <x:bgColor rgb="FFFCE3E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158d73df9a4449c" /><Relationship Type="http://schemas.openxmlformats.org/officeDocument/2006/relationships/theme" Target="/xl/theme/theme1.xml" Id="R6f0e6801dd174a19" /><Relationship Type="http://schemas.openxmlformats.org/officeDocument/2006/relationships/sharedStrings" Target="/xl/sharedStrings.xml" Id="Redd6bec587604e97" /><Relationship Type="http://schemas.openxmlformats.org/officeDocument/2006/relationships/worksheet" Target="/xl/worksheets/sheet1.xml" Id="R8d3194d2391f4ccc" /><Relationship Type="http://schemas.openxmlformats.org/officeDocument/2006/relationships/worksheet" Target="/xl/worksheets/sheet2.xml" Id="Ra77022e9a67c49fd" /><Relationship Type="http://schemas.openxmlformats.org/officeDocument/2006/relationships/worksheet" Target="/xl/worksheets/sheet3.xml" Id="R3f3c32a4386840fd" /><Relationship Type="http://schemas.openxmlformats.org/officeDocument/2006/relationships/worksheet" Target="/xl/worksheets/sheet4.xml" Id="R9a80eb99dcbe4d8b" /><Relationship Type="http://schemas.openxmlformats.org/officeDocument/2006/relationships/worksheet" Target="/xl/worksheets/sheet5.xml" Id="R71930719f29541c7" /><Relationship Type="http://schemas.openxmlformats.org/officeDocument/2006/relationships/worksheet" Target="/xl/worksheets/sheet6.xml" Id="R35240aef10464761" /><Relationship Type="http://schemas.openxmlformats.org/officeDocument/2006/relationships/worksheet" Target="/xl/worksheets/sheet7.xml" Id="Rfe83acdaab9341d2" /><Relationship Type="http://schemas.openxmlformats.org/officeDocument/2006/relationships/worksheet" Target="/xl/worksheets/sheet8.xml" Id="R83b848a12a6148ff" /></Relationships>
</file>

<file path=xl/tables/table1.xml><?xml version="1.0" encoding="utf-8"?>
<x:table xmlns:x="http://schemas.openxmlformats.org/spreadsheetml/2006/main" id="7" name="ResumenTable" displayName="ResumenTable" ref="A5:C14" headerRowCount="1" totalsRowCount="0" totalsRowShown="0">
  <x:autoFilter ref="A5:C14"/>
  <x:tableColumns count="3">
    <x:tableColumn id="1" name="Indicador"/>
    <x:tableColumn id="2" name="Valor"/>
    <x:tableColumn id="3" name="Interpretación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TareasTable" displayName="TareasTable" ref="A5:P29" headerRowCount="1" totalsRowCount="0" totalsRowShown="0">
  <x:autoFilter ref="A5:P29"/>
  <x:tableColumns count="16">
    <x:tableColumn id="1" name="ID"/>
    <x:tableColumn id="2" name="Historia"/>
    <x:tableColumn id="3" name="Tarea"/>
    <x:tableColumn id="4" name="Sprint"/>
    <x:tableColumn id="5" name="Responsable"/>
    <x:tableColumn id="6" name="Estado"/>
    <x:tableColumn id="7" name="Dependencias"/>
    <x:tableColumn id="8" name="Horas estimadas"/>
    <x:tableColumn id="9" name="Criterio de salida"/>
    <x:tableColumn id="10" name="Evidencia o commit"/>
    <x:tableColumn id="11" name="Fecha de cierre"/>
    <x:tableColumn id="12" name="Revisión"/>
    <x:tableColumn id="13" name="Fecha objetivo"/>
    <x:tableColumn id="14" name="Clave de tablero"/>
    <x:tableColumn id="15" name="Control de cierre"/>
    <x:tableColumn id="16" name="Requisito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HistoriasTable" displayName="HistoriasTable" ref="A5:H21" headerRowCount="1" totalsRowCount="0" totalsRowShown="0">
  <x:autoFilter ref="A5:H21"/>
  <x:tableColumns count="8">
    <x:tableColumn id="1" name="ID"/>
    <x:tableColumn id="2" name="Épica"/>
    <x:tableColumn id="3" name="Historia de usuario"/>
    <x:tableColumn id="4" name="Requisitos"/>
    <x:tableColumn id="5" name="Sprint propuesto"/>
    <x:tableColumn id="6" name="Puntos estimados"/>
    <x:tableColumn id="7" name="Responsable"/>
    <x:tableColumn id="8" name="Tareas vinculada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RequisitosTable" displayName="RequisitosTable" ref="A5:O37" headerRowCount="1" totalsRowCount="0" totalsRowShown="0">
  <x:autoFilter ref="A5:O37"/>
  <x:tableColumns count="15">
    <x:tableColumn id="1" name="ID"/>
    <x:tableColumn id="2" name="Tipo"/>
    <x:tableColumn id="3" name="Nombre"/>
    <x:tableColumn id="4" name="Actor"/>
    <x:tableColumn id="5" name="Especificación"/>
    <x:tableColumn id="6" name="Prioridad"/>
    <x:tableColumn id="7" name="Sprint"/>
    <x:tableColumn id="8" name="Backend observado"/>
    <x:tableColumn id="9" name="Frontend observado"/>
    <x:tableColumn id="10" name="Criterio de aceptación"/>
    <x:tableColumn id="11" name="Dependencia"/>
    <x:tableColumn id="12" name="Fuente o evidencia"/>
    <x:tableColumn id="13" name="Historias"/>
    <x:tableColumn id="14" name="Pruebas"/>
    <x:tableColumn id="15" name="Validación del negocio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PruebasTable" displayName="PruebasTable" ref="A5:L27" headerRowCount="1" totalsRowCount="0" totalsRowShown="0">
  <x:autoFilter ref="A5:L27"/>
  <x:tableColumns count="12">
    <x:tableColumn id="1" name="ID"/>
    <x:tableColumn id="2" name="Requisitos"/>
    <x:tableColumn id="3" name="Sprint"/>
    <x:tableColumn id="4" name="Precondiciones"/>
    <x:tableColumn id="5" name="Pasos"/>
    <x:tableColumn id="6" name="Resultado esperado"/>
    <x:tableColumn id="7" name="Resultado"/>
    <x:tableColumn id="8" name="Resultado observado"/>
    <x:tableColumn id="9" name="Evidencia o defecto"/>
    <x:tableColumn id="10" name="Responsable"/>
    <x:tableColumn id="11" name="Fecha"/>
    <x:tableColumn id="12" name="Versión probada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SprintsTable" displayName="SprintsTable" ref="A5:L8" headerRowCount="1" totalsRowCount="0" totalsRowShown="0">
  <x:autoFilter ref="A5:L8"/>
  <x:tableColumns count="12">
    <x:tableColumn id="1" name="Sprint"/>
    <x:tableColumn id="2" name="Inicio"/>
    <x:tableColumn id="3" name="Fin propuesto"/>
    <x:tableColumn id="4" name="Objetivo"/>
    <x:tableColumn id="5" name="Historias"/>
    <x:tableColumn id="6" name="Tareas"/>
    <x:tableColumn id="7" name="Review real"/>
    <x:tableColumn id="8" name="Capacidad acordada"/>
    <x:tableColumn id="9" name="Resultado de review"/>
    <x:tableColumn id="10" name="Feedback y decisiones"/>
    <x:tableColumn id="11" name="Mejora de retrospectiva"/>
    <x:tableColumn id="12" name="Responsable y seguimiento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DecisionesTable" displayName="DecisionesTable" ref="A5:I15" headerRowCount="1" totalsRowCount="0" totalsRowShown="0">
  <x:autoFilter ref="A5:I15"/>
  <x:tableColumns count="9">
    <x:tableColumn id="1" name="ID"/>
    <x:tableColumn id="2" name="Tema"/>
    <x:tableColumn id="3" name="Definición requerida"/>
    <x:tableColumn id="4" name="Quién debe resolver"/>
    <x:tableColumn id="5" name="Antes de"/>
    <x:tableColumn id="6" name="Estado"/>
    <x:tableColumn id="7" name="Acuerdo o siguiente acción"/>
    <x:tableColumn id="8" name="Fecha"/>
    <x:tableColumn id="9" name="Evidenci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168f1c63767425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a151057c7eec42a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9313ae689cb14d7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24812b9d2d944fd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d28f7c6a8fe64576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1723f589f864bb9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1c2102fee4e74abf" /></Relationships>
</file>

<file path=xl/worksheets/sheet1.xml><?xml version="1.0" encoding="utf-8"?>
<x:worksheet xmlns:x="http://schemas.openxmlformats.org/spreadsheetml/2006/main">
  <x:sheetPr>
    <x:tabColor rgb="FF24364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9" hidden="0" customWidth="1"/>
    <x:col min="2" max="2" width="26" hidden="0" customWidth="1"/>
    <x:col min="3" max="3" width="76" hidden="0" customWidth="1"/>
  </x:cols>
  <x:sheetData>
    <x:row r="1">
      <x:c r="A1" s="1"/>
      <x:c r="B1" s="1"/>
      <x:c r="C1" s="1"/>
    </x:row>
    <x:row r="2" ht="27" customHeight="1">
      <x:c r="A2" s="2" t="str">
        <x:v>Easy Office seguimiento del plan</x:v>
      </x:c>
      <x:c r="B2" s="1"/>
      <x:c r="C2" s="1"/>
    </x:row>
    <x:row r="3">
      <x:c r="A3" s="3" t="str">
        <x:v>Corte inicial 10/10/2026. Sin aceptación funcional declarada. Cifras del plan actual, no porcentaje total de desarrollo del producto.</x:v>
      </x:c>
      <x:c r="B3" s="1"/>
      <x:c r="C3" s="1"/>
    </x:row>
    <x:row r="4">
      <x:c r="A4" s="1"/>
      <x:c r="B4" s="1"/>
      <x:c r="C4" s="1"/>
    </x:row>
    <x:row r="5" ht="32" customHeight="1">
      <x:c r="A5" s="8" t="str">
        <x:v>Indicador</x:v>
      </x:c>
      <x:c r="B5" s="8" t="str">
        <x:v>Valor</x:v>
      </x:c>
      <x:c r="C5" s="8" t="str">
        <x:v>Interpretación</x:v>
      </x:c>
    </x:row>
    <x:row r="6" ht="35" customHeight="1">
      <x:c r="A6" s="29" t="str">
        <x:v>Tareas del plan</x:v>
      </x:c>
      <x:c r="B6" s="29" t="n">
        <x:f>COUNTIFS(Tareas!$A$6:$A$205,"&lt;&gt;")</x:f>
        <x:v>24</x:v>
      </x:c>
      <x:c r="C6" s="29" t="str">
        <x:v>Incluye futuro y bloqueos externos</x:v>
      </x:c>
    </x:row>
    <x:row r="7" ht="35" customHeight="1">
      <x:c r="A7" s="30" t="str">
        <x:v>Hecho declarado</x:v>
      </x:c>
      <x:c r="B7" s="30" t="n">
        <x:f>COUNTIFS(Tareas!$F$6:$F$205,"Hecho",Tareas!$A$6:$A$205,"&lt;&gt;")</x:f>
        <x:v>0</x:v>
      </x:c>
      <x:c r="C7" s="30" t="str">
        <x:v>Estado ingresado por el equipo</x:v>
      </x:c>
    </x:row>
    <x:row r="8" ht="35" customHeight="1">
      <x:c r="A8" s="29" t="str">
        <x:v>Hecho con cierre verificado</x:v>
      </x:c>
      <x:c r="B8" s="29" t="n">
        <x:f>COUNTIFS(Tareas!$O$6:$O$205,"Verificado")</x:f>
        <x:v>0</x:v>
      </x:c>
      <x:c r="C8" s="29" t="str">
        <x:v>Evidencia, fecha y revisión aprobada presentes</x:v>
      </x:c>
    </x:row>
    <x:row r="9" ht="35" customHeight="1">
      <x:c r="A9" s="30" t="str">
        <x:v>Avance de tareas documentado</x:v>
      </x:c>
      <x:c r="B9" s="31" t="n">
        <x:f>IF(B6=0,"",B8/B6)</x:f>
        <x:v>0</x:v>
      </x:c>
      <x:c r="C9" s="30" t="str">
        <x:v>Cierres verificados / tareas del plan</x:v>
      </x:c>
    </x:row>
    <x:row r="10" ht="35" customHeight="1">
      <x:c r="A10" s="29" t="str">
        <x:v>Tareas bloqueadas</x:v>
      </x:c>
      <x:c r="B10" s="29" t="n">
        <x:f>COUNTIFS(Tareas!$F$6:$F$205,"Bloqueado",Tareas!$A$6:$A$205,"&lt;&gt;")</x:f>
        <x:v>4</x:v>
      </x:c>
      <x:c r="C10" s="29" t="str">
        <x:v>Requieren decisión o dependencia</x:v>
      </x:c>
    </x:row>
    <x:row r="11" ht="35" customHeight="1">
      <x:c r="A11" s="30" t="str">
        <x:v>Pruebas aprobadas</x:v>
      </x:c>
      <x:c r="B11" s="30" t="n">
        <x:f>COUNTIFS(Pruebas!$G$6:$G$27,"Aprobado")</x:f>
        <x:v>0</x:v>
      </x:c>
      <x:c r="C11" s="30" t="str">
        <x:v>Resultados declarados en Pruebas</x:v>
      </x:c>
    </x:row>
    <x:row r="12" ht="35" customHeight="1">
      <x:c r="A12" s="29" t="str">
        <x:v>Pruebas no ejecutadas</x:v>
      </x:c>
      <x:c r="B12" s="29" t="n">
        <x:f>COUNTIFS(Pruebas!$G$6:$G$27,"No ejecutado")</x:f>
        <x:v>22</x:v>
      </x:c>
      <x:c r="C12" s="29" t="str">
        <x:v>Pendientes de ejecutar</x:v>
      </x:c>
    </x:row>
    <x:row r="13" ht="35" customHeight="1">
      <x:c r="A13" s="30" t="str">
        <x:v>Decisiones pendientes</x:v>
      </x:c>
      <x:c r="B13" s="30" t="n">
        <x:f>COUNTIFS(Decisiones!$F$6:$F$15,"Pendiente")</x:f>
        <x:v>10</x:v>
      </x:c>
      <x:c r="C13" s="30" t="str">
        <x:v>Acuerdos de alcance o recursos</x:v>
      </x:c>
    </x:row>
    <x:row r="14" ht="35" customHeight="1">
      <x:c r="A14" s="29" t="str">
        <x:v>Próxima review</x:v>
      </x:c>
      <x:c r="B14" s="32" t="str">
        <x:f>IF(Sprints!G6="","Por confirmar",Sprints!G6)</x:f>
        <x:v>Por confirmar</x:v>
      </x:c>
      <x:c r="C14" s="29" t="str">
        <x:v>Completar fecha real en Sprints</x:v>
      </x:c>
    </x:row>
    <x:row r="15">
      <x:c r="A15" s="33"/>
      <x:c r="B15" s="33"/>
      <x:c r="C15" s="33"/>
    </x:row>
    <x:row r="16">
      <x:c r="A16" s="33"/>
      <x:c r="B16" s="33"/>
      <x:c r="C16" s="33"/>
    </x:row>
    <x:row r="17" ht="48" customHeight="1">
      <x:c r="A17" s="34" t="str">
        <x:v>Uso de la planilla</x:v>
      </x:c>
      <x:c r="B17" s="34" t="str">
        <x:v>Entrada editable</x:v>
      </x:c>
      <x:c r="C17" s="34" t="str">
        <x:v>Resultado</x:v>
      </x:c>
    </x:row>
    <x:row r="18" ht="48" customHeight="1">
      <x:c r="A18" s="35" t="str">
        <x:v>Planificar</x:v>
      </x:c>
      <x:c r="B18" s="35" t="str">
        <x:v>Sprints e Historias: fechas y estimaciones</x:v>
      </x:c>
      <x:c r="C18" s="35" t="str">
        <x:v>Acordar alcance según capacidad</x:v>
      </x:c>
    </x:row>
    <x:row r="19" ht="48" customHeight="1">
      <x:c r="A19" s="35" t="str">
        <x:v>Mover tarjetas</x:v>
      </x:c>
      <x:c r="B19" s="35" t="str">
        <x:v>Tareas: Estado y Responsable</x:v>
      </x:c>
      <x:c r="C19" s="35" t="str">
        <x:v>Kanban se actualiza automáticamente</x:v>
      </x:c>
    </x:row>
    <x:row r="20" ht="48" customHeight="1">
      <x:c r="A20" s="35" t="str">
        <x:v>Cerrar una tarea</x:v>
      </x:c>
      <x:c r="B20" s="35" t="str">
        <x:v>Tareas: evidencia, fecha, revisión Aprobada y Hecho</x:v>
      </x:c>
      <x:c r="C20" s="35" t="str">
        <x:v>Control de cierre Verificado</x:v>
      </x:c>
    </x:row>
    <x:row r="21" ht="48" customHeight="1">
      <x:c r="A21" s="35" t="str">
        <x:v>Demostrar avance</x:v>
      </x:c>
      <x:c r="B21" s="35" t="str">
        <x:v>Pruebas: resultado observado y evidencia</x:v>
      </x:c>
      <x:c r="C21" s="35" t="str">
        <x:v>Review basada en resultados reales</x:v>
      </x:c>
    </x:row>
    <x:row r="22">
      <x:c r="A22" s="33"/>
      <x:c r="B22" s="33"/>
      <x:c r="C22" s="33"/>
    </x:row>
    <x:row r="23">
      <x:c r="A23" s="33"/>
      <x:c r="B23" s="33"/>
      <x:c r="C23" s="33"/>
    </x:row>
    <x:row r="24" ht="44" customHeight="1">
      <x:c r="A24" s="35" t="str">
        <x:v>Capacidad del libro</x:v>
      </x:c>
      <x:c r="B24" s="35" t="str">
        <x:v>200 tareas en filas 6 a 205</x:v>
      </x:c>
      <x:c r="C24" s="35" t="str">
        <x:v>Añadir filas dentro del rango; extender tabla de Tareas para incluirlas en su filtro.</x:v>
      </x:c>
    </x:row>
    <x:row r="25" ht="44" customHeight="1">
      <x:c r="A25" s="35" t="str">
        <x:v>Campos ámbar</x:v>
      </x:c>
      <x:c r="B25" s="35" t="str">
        <x:v>Entradas del equipo</x:v>
      </x:c>
      <x:c r="C25" s="35" t="str">
        <x:v>No se asignaron horas, puntos, personas ni fechas ficticias.</x:v>
      </x:c>
    </x:row>
    <x:row r="26" ht="44" customHeight="1">
      <x:c r="A26" s="35" t="str">
        <x:v>Fuentes</x:v>
      </x:c>
      <x:c r="B26" s="35" t="str">
        <x:v>ZIP recibidos el 10/10/2026</x:v>
      </x:c>
      <x:c r="C26" s="35" t="str">
        <x:v>Rutas de evidencia en Requisitos; decisiones nuevas identificadas como pendientes.</x:v>
      </x:c>
    </x:row>
  </x:sheetData>
  <x:pageMargins left="0.7" right="0.7" top="0.75" bottom="0.75" header="0.3" footer="0.3"/>
  <x:tableParts count="1">
    <x:tablePart xmlns:r="http://schemas.openxmlformats.org/officeDocument/2006/relationships" r:id="R2168f1c63767425a"/>
  </x:tableParts>
</x:worksheet>
</file>

<file path=xl/worksheets/sheet2.xml><?xml version="1.0" encoding="utf-8"?>
<x:worksheet xmlns:x="http://schemas.openxmlformats.org/spreadsheetml/2006/main">
  <x:sheetPr>
    <x:tabColor rgb="FF24364B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3" hidden="0" customWidth="1"/>
    <x:col min="2" max="2" width="33" hidden="0" customWidth="1"/>
    <x:col min="3" max="3" width="33" hidden="0" customWidth="1"/>
    <x:col min="4" max="4" width="33" hidden="0" customWidth="1"/>
    <x:col min="5" max="5" width="33" hidden="0" customWidth="1"/>
    <x:col min="6" max="6" width="33" hidden="0" customWidth="1"/>
  </x:cols>
  <x:sheetData>
    <x:row r="1">
      <x:c r="A1" s="1"/>
      <x:c r="B1" s="1"/>
      <x:c r="C1" s="1"/>
      <x:c r="D1" s="1"/>
      <x:c r="E1" s="1"/>
      <x:c r="F1" s="1"/>
    </x:row>
    <x:row r="2" ht="27" customHeight="1">
      <x:c r="A2" s="2" t="str">
        <x:v>Kanban Easy Office</x:v>
      </x:c>
      <x:c r="B2" s="1"/>
      <x:c r="C2" s="1"/>
      <x:c r="D2" s="1"/>
      <x:c r="E2" s="1"/>
      <x:c r="F2" s="1"/>
    </x:row>
    <x:row r="3">
      <x:c r="A3" s="3" t="str">
        <x:v>Vista automática de Tareas. Cambia Estado en Tareas para mover tarjetas. Las marcadas Hecho conservan su control de cierre.</x:v>
      </x:c>
      <x:c r="B3" s="1"/>
      <x:c r="C3" s="1"/>
      <x:c r="D3" s="1"/>
      <x:c r="E3" s="1"/>
      <x:c r="F3" s="1"/>
    </x:row>
    <x:row r="4">
      <x:c r="A4" s="18" t="n">
        <x:f>COUNTIFS(Tareas!$F$6:$F$205,A$5,Tareas!$A$6:$A$205,"&lt;&gt;")</x:f>
        <x:v>11</x:v>
      </x:c>
      <x:c r="B4" s="18" t="n">
        <x:f>COUNTIFS(Tareas!$F$6:$F$205,B$5,Tareas!$A$6:$A$205,"&lt;&gt;")</x:f>
        <x:v>9</x:v>
      </x:c>
      <x:c r="C4" s="18" t="n">
        <x:f>COUNTIFS(Tareas!$F$6:$F$205,C$5,Tareas!$A$6:$A$205,"&lt;&gt;")</x:f>
        <x:v>0</x:v>
      </x:c>
      <x:c r="D4" s="18" t="n">
        <x:f>COUNTIFS(Tareas!$F$6:$F$205,D$5,Tareas!$A$6:$A$205,"&lt;&gt;")</x:f>
        <x:v>0</x:v>
      </x:c>
      <x:c r="E4" s="18" t="n">
        <x:f>COUNTIFS(Tareas!$F$6:$F$205,E$5,Tareas!$A$6:$A$205,"&lt;&gt;")</x:f>
        <x:v>0</x:v>
      </x:c>
      <x:c r="F4" s="18" t="n">
        <x:f>COUNTIFS(Tareas!$F$6:$F$205,F$5,Tareas!$A$6:$A$205,"&lt;&gt;")</x:f>
        <x:v>4</x:v>
      </x:c>
    </x:row>
    <x:row r="5" ht="32" customHeight="1">
      <x:c r="A5" s="8" t="str">
        <x:v>Backlog</x:v>
      </x:c>
      <x:c r="B5" s="8" t="str">
        <x:v>Por hacer</x:v>
      </x:c>
      <x:c r="C5" s="8" t="str">
        <x:v>En curso</x:v>
      </x:c>
      <x:c r="D5" s="8" t="str">
        <x:v>En revisión</x:v>
      </x:c>
      <x:c r="E5" s="8" t="str">
        <x:v>Hecho</x:v>
      </x:c>
      <x:c r="F5" s="8" t="str">
        <x:v>Bloqueado</x:v>
      </x:c>
    </x:row>
    <x:row r="6" ht="76" customHeight="1">
      <x:c r="A6" s="10" t="str">
        <x:f>IF(1&gt;A$4,"",INDEX(Tareas!$A$6:$A$205,MATCH(A$5&amp;"_"&amp;1,Tareas!$N$6:$N$205,0),1)&amp;" · "&amp;INDEX(Tareas!$D$6:$D$205,MATCH(A$5&amp;"_"&amp;1,Tareas!$N$6:$N$205,0),1)&amp;CHAR(10)&amp;INDEX(Tareas!$C$6:$C$205,MATCH(A$5&amp;"_"&amp;1,Tareas!$N$6:$N$205,0),1)&amp;CHAR(10)&amp;INDEX(Tareas!$E$6:$E$205,MATCH(A$5&amp;"_"&amp;1,Tareas!$N$6:$N$205,0),1)&amp;CHAR(10)&amp;INDEX(Tareas!$O$6:$O$205,MATCH(A$5&amp;"_"&amp;1,Tareas!$N$6:$N$205,0),1))</x:f>
        <x:v>T-10 · S2
Conectar asignación y bandeja comercial
Por asignar
Pendiente</x:v>
      </x:c>
      <x:c r="B6" s="10" t="str">
        <x:f>IF(1&gt;B$4,"",INDEX(Tareas!$A$6:$A$205,MATCH(B$5&amp;"_"&amp;1,Tareas!$N$6:$N$205,0),1)&amp;" · "&amp;INDEX(Tareas!$D$6:$D$205,MATCH(B$5&amp;"_"&amp;1,Tareas!$N$6:$N$205,0),1)&amp;CHAR(10)&amp;INDEX(Tareas!$C$6:$C$205,MATCH(B$5&amp;"_"&amp;1,Tareas!$N$6:$N$205,0),1)&amp;CHAR(10)&amp;INDEX(Tareas!$E$6:$E$205,MATCH(B$5&amp;"_"&amp;1,Tareas!$N$6:$N$205,0),1)&amp;CHAR(10)&amp;INDEX(Tareas!$O$6:$O$205,MATCH(B$5&amp;"_"&amp;1,Tareas!$N$6:$N$205,0),1))</x:f>
        <x:v>T-01 · S1
Validar alcance y preparar datos demo
Por asignar
Pendiente</x:v>
      </x:c>
      <x:c r="C6" s="10" t="str">
        <x:f>IF(1&gt;C$4,"",INDEX(Tareas!$A$6:$A$205,MATCH(C$5&amp;"_"&amp;1,Tareas!$N$6:$N$205,0),1)&amp;" · "&amp;INDEX(Tareas!$D$6:$D$205,MATCH(C$5&amp;"_"&amp;1,Tareas!$N$6:$N$205,0),1)&amp;CHAR(10)&amp;INDEX(Tareas!$C$6:$C$205,MATCH(C$5&amp;"_"&amp;1,Tareas!$N$6:$N$205,0),1)&amp;CHAR(10)&amp;INDEX(Tareas!$E$6:$E$205,MATCH(C$5&amp;"_"&amp;1,Tareas!$N$6:$N$205,0),1)&amp;CHAR(10)&amp;INDEX(Tareas!$O$6:$O$205,MATCH(C$5&amp;"_"&amp;1,Tareas!$N$6:$N$205,0),1))</x:f>
      </x:c>
      <x:c r="D6" s="10" t="str">
        <x:f>IF(1&gt;D$4,"",INDEX(Tareas!$A$6:$A$205,MATCH(D$5&amp;"_"&amp;1,Tareas!$N$6:$N$205,0),1)&amp;" · "&amp;INDEX(Tareas!$D$6:$D$205,MATCH(D$5&amp;"_"&amp;1,Tareas!$N$6:$N$205,0),1)&amp;CHAR(10)&amp;INDEX(Tareas!$C$6:$C$205,MATCH(D$5&amp;"_"&amp;1,Tareas!$N$6:$N$205,0),1)&amp;CHAR(10)&amp;INDEX(Tareas!$E$6:$E$205,MATCH(D$5&amp;"_"&amp;1,Tareas!$N$6:$N$205,0),1)&amp;CHAR(10)&amp;INDEX(Tareas!$O$6:$O$205,MATCH(D$5&amp;"_"&amp;1,Tareas!$N$6:$N$205,0),1))</x:f>
      </x:c>
      <x:c r="E6" s="10" t="str">
        <x:f>IF(1&gt;E$4,"",INDEX(Tareas!$A$6:$A$205,MATCH(E$5&amp;"_"&amp;1,Tareas!$N$6:$N$205,0),1)&amp;" · "&amp;INDEX(Tareas!$D$6:$D$205,MATCH(E$5&amp;"_"&amp;1,Tareas!$N$6:$N$205,0),1)&amp;CHAR(10)&amp;INDEX(Tareas!$C$6:$C$205,MATCH(E$5&amp;"_"&amp;1,Tareas!$N$6:$N$205,0),1)&amp;CHAR(10)&amp;INDEX(Tareas!$E$6:$E$205,MATCH(E$5&amp;"_"&amp;1,Tareas!$N$6:$N$205,0),1)&amp;CHAR(10)&amp;INDEX(Tareas!$O$6:$O$205,MATCH(E$5&amp;"_"&amp;1,Tareas!$N$6:$N$205,0),1))</x:f>
      </x:c>
      <x:c r="F6" s="10" t="str">
        <x:f>IF(1&gt;F$4,"",INDEX(Tareas!$A$6:$A$205,MATCH(F$5&amp;"_"&amp;1,Tareas!$N$6:$N$205,0),1)&amp;" · "&amp;INDEX(Tareas!$D$6:$D$205,MATCH(F$5&amp;"_"&amp;1,Tareas!$N$6:$N$205,0),1)&amp;CHAR(10)&amp;INDEX(Tareas!$C$6:$C$205,MATCH(F$5&amp;"_"&amp;1,Tareas!$N$6:$N$205,0),1)&amp;CHAR(10)&amp;INDEX(Tareas!$E$6:$E$205,MATCH(F$5&amp;"_"&amp;1,Tareas!$N$6:$N$205,0),1)&amp;CHAR(10)&amp;INDEX(Tareas!$O$6:$O$205,MATCH(F$5&amp;"_"&amp;1,Tareas!$N$6:$N$205,0),1))</x:f>
        <x:v>T-21 · Futuro
Definir e integrar proveedor de FEA
Por asignar
Pendiente</x:v>
      </x:c>
    </x:row>
    <x:row r="7" ht="76" customHeight="1">
      <x:c r="A7" s="10" t="str">
        <x:f>IF(2&gt;A$4,"",INDEX(Tareas!$A$6:$A$205,MATCH(A$5&amp;"_"&amp;2,Tareas!$N$6:$N$205,0),1)&amp;" · "&amp;INDEX(Tareas!$D$6:$D$205,MATCH(A$5&amp;"_"&amp;2,Tareas!$N$6:$N$205,0),1)&amp;CHAR(10)&amp;INDEX(Tareas!$C$6:$C$205,MATCH(A$5&amp;"_"&amp;2,Tareas!$N$6:$N$205,0),1)&amp;CHAR(10)&amp;INDEX(Tareas!$E$6:$E$205,MATCH(A$5&amp;"_"&amp;2,Tareas!$N$6:$N$205,0),1)&amp;CHAR(10)&amp;INDEX(Tareas!$O$6:$O$205,MATCH(A$5&amp;"_"&amp;2,Tareas!$N$6:$N$205,0),1))</x:f>
        <x:v>T-11 · S2
Agregar plantillas y editor versionado
Por asignar
Pendiente</x:v>
      </x:c>
      <x:c r="B7" s="10" t="str">
        <x:f>IF(2&gt;B$4,"",INDEX(Tareas!$A$6:$A$205,MATCH(B$5&amp;"_"&amp;2,Tareas!$N$6:$N$205,0),1)&amp;" · "&amp;INDEX(Tareas!$D$6:$D$205,MATCH(B$5&amp;"_"&amp;2,Tareas!$N$6:$N$205,0),1)&amp;CHAR(10)&amp;INDEX(Tareas!$C$6:$C$205,MATCH(B$5&amp;"_"&amp;2,Tareas!$N$6:$N$205,0),1)&amp;CHAR(10)&amp;INDEX(Tareas!$E$6:$E$205,MATCH(B$5&amp;"_"&amp;2,Tareas!$N$6:$N$205,0),1)&amp;CHAR(10)&amp;INDEX(Tareas!$O$6:$O$205,MATCH(B$5&amp;"_"&amp;2,Tareas!$N$6:$N$205,0),1))</x:f>
        <x:v>T-02 · S1
Configurar HttpClient y URL de API
Por asignar
Pendiente</x:v>
      </x:c>
      <x:c r="C7" s="10" t="str">
        <x:f>IF(2&gt;C$4,"",INDEX(Tareas!$A$6:$A$205,MATCH(C$5&amp;"_"&amp;2,Tareas!$N$6:$N$205,0),1)&amp;" · "&amp;INDEX(Tareas!$D$6:$D$205,MATCH(C$5&amp;"_"&amp;2,Tareas!$N$6:$N$205,0),1)&amp;CHAR(10)&amp;INDEX(Tareas!$C$6:$C$205,MATCH(C$5&amp;"_"&amp;2,Tareas!$N$6:$N$205,0),1)&amp;CHAR(10)&amp;INDEX(Tareas!$E$6:$E$205,MATCH(C$5&amp;"_"&amp;2,Tareas!$N$6:$N$205,0),1)&amp;CHAR(10)&amp;INDEX(Tareas!$O$6:$O$205,MATCH(C$5&amp;"_"&amp;2,Tareas!$N$6:$N$205,0),1))</x:f>
      </x:c>
      <x:c r="D7" s="10" t="str">
        <x:f>IF(2&gt;D$4,"",INDEX(Tareas!$A$6:$A$205,MATCH(D$5&amp;"_"&amp;2,Tareas!$N$6:$N$205,0),1)&amp;" · "&amp;INDEX(Tareas!$D$6:$D$205,MATCH(D$5&amp;"_"&amp;2,Tareas!$N$6:$N$205,0),1)&amp;CHAR(10)&amp;INDEX(Tareas!$C$6:$C$205,MATCH(D$5&amp;"_"&amp;2,Tareas!$N$6:$N$205,0),1)&amp;CHAR(10)&amp;INDEX(Tareas!$E$6:$E$205,MATCH(D$5&amp;"_"&amp;2,Tareas!$N$6:$N$205,0),1)&amp;CHAR(10)&amp;INDEX(Tareas!$O$6:$O$205,MATCH(D$5&amp;"_"&amp;2,Tareas!$N$6:$N$205,0),1))</x:f>
      </x:c>
      <x:c r="E7" s="10" t="str">
        <x:f>IF(2&gt;E$4,"",INDEX(Tareas!$A$6:$A$205,MATCH(E$5&amp;"_"&amp;2,Tareas!$N$6:$N$205,0),1)&amp;" · "&amp;INDEX(Tareas!$D$6:$D$205,MATCH(E$5&amp;"_"&amp;2,Tareas!$N$6:$N$205,0),1)&amp;CHAR(10)&amp;INDEX(Tareas!$C$6:$C$205,MATCH(E$5&amp;"_"&amp;2,Tareas!$N$6:$N$205,0),1)&amp;CHAR(10)&amp;INDEX(Tareas!$E$6:$E$205,MATCH(E$5&amp;"_"&amp;2,Tareas!$N$6:$N$205,0),1)&amp;CHAR(10)&amp;INDEX(Tareas!$O$6:$O$205,MATCH(E$5&amp;"_"&amp;2,Tareas!$N$6:$N$205,0),1))</x:f>
      </x:c>
      <x:c r="F7" s="10" t="str">
        <x:f>IF(2&gt;F$4,"",INDEX(Tareas!$A$6:$A$205,MATCH(F$5&amp;"_"&amp;2,Tareas!$N$6:$N$205,0),1)&amp;" · "&amp;INDEX(Tareas!$D$6:$D$205,MATCH(F$5&amp;"_"&amp;2,Tareas!$N$6:$N$205,0),1)&amp;CHAR(10)&amp;INDEX(Tareas!$C$6:$C$205,MATCH(F$5&amp;"_"&amp;2,Tareas!$N$6:$N$205,0),1)&amp;CHAR(10)&amp;INDEX(Tareas!$E$6:$E$205,MATCH(F$5&amp;"_"&amp;2,Tareas!$N$6:$N$205,0),1)&amp;CHAR(10)&amp;INDEX(Tareas!$O$6:$O$205,MATCH(F$5&amp;"_"&amp;2,Tareas!$N$6:$N$205,0),1))</x:f>
        <x:v>T-22 · Futuro
Definir e integrar Webpay
Por asignar
Pendiente</x:v>
      </x:c>
    </x:row>
    <x:row r="8" ht="76" customHeight="1">
      <x:c r="A8" s="10" t="str">
        <x:f>IF(3&gt;A$4,"",INDEX(Tareas!$A$6:$A$205,MATCH(A$5&amp;"_"&amp;3,Tareas!$N$6:$N$205,0),1)&amp;" · "&amp;INDEX(Tareas!$D$6:$D$205,MATCH(A$5&amp;"_"&amp;3,Tareas!$N$6:$N$205,0),1)&amp;CHAR(10)&amp;INDEX(Tareas!$C$6:$C$205,MATCH(A$5&amp;"_"&amp;3,Tareas!$N$6:$N$205,0),1)&amp;CHAR(10)&amp;INDEX(Tareas!$E$6:$E$205,MATCH(A$5&amp;"_"&amp;3,Tareas!$N$6:$N$205,0),1)&amp;CHAR(10)&amp;INDEX(Tareas!$O$6:$O$205,MATCH(A$5&amp;"_"&amp;3,Tareas!$N$6:$N$205,0),1))</x:f>
        <x:v>T-12 · S2
Implementar revisión observación y cierre
Por asignar
Pendiente</x:v>
      </x:c>
      <x:c r="B8" s="10" t="str">
        <x:f>IF(3&gt;B$4,"",INDEX(Tareas!$A$6:$A$205,MATCH(B$5&amp;"_"&amp;3,Tareas!$N$6:$N$205,0),1)&amp;" · "&amp;INDEX(Tareas!$D$6:$D$205,MATCH(B$5&amp;"_"&amp;3,Tareas!$N$6:$N$205,0),1)&amp;CHAR(10)&amp;INDEX(Tareas!$C$6:$C$205,MATCH(B$5&amp;"_"&amp;3,Tareas!$N$6:$N$205,0),1)&amp;CHAR(10)&amp;INDEX(Tareas!$E$6:$E$205,MATCH(B$5&amp;"_"&amp;3,Tareas!$N$6:$N$205,0),1)&amp;CHAR(10)&amp;INDEX(Tareas!$O$6:$O$205,MATCH(B$5&amp;"_"&amp;3,Tareas!$N$6:$N$205,0),1))</x:f>
        <x:v>T-03 · S1
Completar login guards y cierre de sesión
Por asignar
Pendiente</x:v>
      </x:c>
      <x:c r="C8" s="10" t="str">
        <x:f>IF(3&gt;C$4,"",INDEX(Tareas!$A$6:$A$205,MATCH(C$5&amp;"_"&amp;3,Tareas!$N$6:$N$205,0),1)&amp;" · "&amp;INDEX(Tareas!$D$6:$D$205,MATCH(C$5&amp;"_"&amp;3,Tareas!$N$6:$N$205,0),1)&amp;CHAR(10)&amp;INDEX(Tareas!$C$6:$C$205,MATCH(C$5&amp;"_"&amp;3,Tareas!$N$6:$N$205,0),1)&amp;CHAR(10)&amp;INDEX(Tareas!$E$6:$E$205,MATCH(C$5&amp;"_"&amp;3,Tareas!$N$6:$N$205,0),1)&amp;CHAR(10)&amp;INDEX(Tareas!$O$6:$O$205,MATCH(C$5&amp;"_"&amp;3,Tareas!$N$6:$N$205,0),1))</x:f>
      </x:c>
      <x:c r="D8" s="10" t="str">
        <x:f>IF(3&gt;D$4,"",INDEX(Tareas!$A$6:$A$205,MATCH(D$5&amp;"_"&amp;3,Tareas!$N$6:$N$205,0),1)&amp;" · "&amp;INDEX(Tareas!$D$6:$D$205,MATCH(D$5&amp;"_"&amp;3,Tareas!$N$6:$N$205,0),1)&amp;CHAR(10)&amp;INDEX(Tareas!$C$6:$C$205,MATCH(D$5&amp;"_"&amp;3,Tareas!$N$6:$N$205,0),1)&amp;CHAR(10)&amp;INDEX(Tareas!$E$6:$E$205,MATCH(D$5&amp;"_"&amp;3,Tareas!$N$6:$N$205,0),1)&amp;CHAR(10)&amp;INDEX(Tareas!$O$6:$O$205,MATCH(D$5&amp;"_"&amp;3,Tareas!$N$6:$N$205,0),1))</x:f>
      </x:c>
      <x:c r="E8" s="10" t="str">
        <x:f>IF(3&gt;E$4,"",INDEX(Tareas!$A$6:$A$205,MATCH(E$5&amp;"_"&amp;3,Tareas!$N$6:$N$205,0),1)&amp;" · "&amp;INDEX(Tareas!$D$6:$D$205,MATCH(E$5&amp;"_"&amp;3,Tareas!$N$6:$N$205,0),1)&amp;CHAR(10)&amp;INDEX(Tareas!$C$6:$C$205,MATCH(E$5&amp;"_"&amp;3,Tareas!$N$6:$N$205,0),1)&amp;CHAR(10)&amp;INDEX(Tareas!$E$6:$E$205,MATCH(E$5&amp;"_"&amp;3,Tareas!$N$6:$N$205,0),1)&amp;CHAR(10)&amp;INDEX(Tareas!$O$6:$O$205,MATCH(E$5&amp;"_"&amp;3,Tareas!$N$6:$N$205,0),1))</x:f>
      </x:c>
      <x:c r="F8" s="10" t="str">
        <x:f>IF(3&gt;F$4,"",INDEX(Tareas!$A$6:$A$205,MATCH(F$5&amp;"_"&amp;3,Tareas!$N$6:$N$205,0),1)&amp;" · "&amp;INDEX(Tareas!$D$6:$D$205,MATCH(F$5&amp;"_"&amp;3,Tareas!$N$6:$N$205,0),1)&amp;CHAR(10)&amp;INDEX(Tareas!$C$6:$C$205,MATCH(F$5&amp;"_"&amp;3,Tareas!$N$6:$N$205,0),1)&amp;CHAR(10)&amp;INDEX(Tareas!$E$6:$E$205,MATCH(F$5&amp;"_"&amp;3,Tareas!$N$6:$N$205,0),1)&amp;CHAR(10)&amp;INDEX(Tareas!$O$6:$O$205,MATCH(F$5&amp;"_"&amp;3,Tareas!$N$6:$N$205,0),1))</x:f>
        <x:v>T-23 · Futuro
Generar PDF con plantillas aprobadas
Por asignar
Pendiente</x:v>
      </x:c>
    </x:row>
    <x:row r="9" ht="76" customHeight="1">
      <x:c r="A9" s="21" t="str">
        <x:f>IF(4&gt;A$4,"",INDEX(Tareas!$A$6:$A$205,MATCH(A$5&amp;"_"&amp;4,Tareas!$N$6:$N$205,0),1)&amp;" · "&amp;INDEX(Tareas!$D$6:$D$205,MATCH(A$5&amp;"_"&amp;4,Tareas!$N$6:$N$205,0),1)&amp;CHAR(10)&amp;INDEX(Tareas!$C$6:$C$205,MATCH(A$5&amp;"_"&amp;4,Tareas!$N$6:$N$205,0),1)&amp;CHAR(10)&amp;INDEX(Tareas!$E$6:$E$205,MATCH(A$5&amp;"_"&amp;4,Tareas!$N$6:$N$205,0),1)&amp;CHAR(10)&amp;INDEX(Tareas!$O$6:$O$205,MATCH(A$5&amp;"_"&amp;4,Tareas!$N$6:$N$205,0),1))</x:f>
        <x:v>T-13 · S2
Integrar adjuntos y descarga privada
Por asignar
Pendiente</x:v>
      </x:c>
      <x:c r="B9" s="21" t="str">
        <x:f>IF(4&gt;B$4,"",INDEX(Tareas!$A$6:$A$205,MATCH(B$5&amp;"_"&amp;4,Tareas!$N$6:$N$205,0),1)&amp;" · "&amp;INDEX(Tareas!$D$6:$D$205,MATCH(B$5&amp;"_"&amp;4,Tareas!$N$6:$N$205,0),1)&amp;CHAR(10)&amp;INDEX(Tareas!$C$6:$C$205,MATCH(B$5&amp;"_"&amp;4,Tareas!$N$6:$N$205,0),1)&amp;CHAR(10)&amp;INDEX(Tareas!$E$6:$E$205,MATCH(B$5&amp;"_"&amp;4,Tareas!$N$6:$N$205,0),1)&amp;CHAR(10)&amp;INDEX(Tareas!$O$6:$O$205,MATCH(B$5&amp;"_"&amp;4,Tareas!$N$6:$N$205,0),1))</x:f>
        <x:v>T-04 · S1
Conectar catálogo y formulario de trámite
Por asignar
Pendiente</x:v>
      </x:c>
      <x:c r="C9" s="21" t="str">
        <x:f>IF(4&gt;C$4,"",INDEX(Tareas!$A$6:$A$205,MATCH(C$5&amp;"_"&amp;4,Tareas!$N$6:$N$205,0),1)&amp;" · "&amp;INDEX(Tareas!$D$6:$D$205,MATCH(C$5&amp;"_"&amp;4,Tareas!$N$6:$N$205,0),1)&amp;CHAR(10)&amp;INDEX(Tareas!$C$6:$C$205,MATCH(C$5&amp;"_"&amp;4,Tareas!$N$6:$N$205,0),1)&amp;CHAR(10)&amp;INDEX(Tareas!$E$6:$E$205,MATCH(C$5&amp;"_"&amp;4,Tareas!$N$6:$N$205,0),1)&amp;CHAR(10)&amp;INDEX(Tareas!$O$6:$O$205,MATCH(C$5&amp;"_"&amp;4,Tareas!$N$6:$N$205,0),1))</x:f>
      </x:c>
      <x:c r="D9" s="21" t="str">
        <x:f>IF(4&gt;D$4,"",INDEX(Tareas!$A$6:$A$205,MATCH(D$5&amp;"_"&amp;4,Tareas!$N$6:$N$205,0),1)&amp;" · "&amp;INDEX(Tareas!$D$6:$D$205,MATCH(D$5&amp;"_"&amp;4,Tareas!$N$6:$N$205,0),1)&amp;CHAR(10)&amp;INDEX(Tareas!$C$6:$C$205,MATCH(D$5&amp;"_"&amp;4,Tareas!$N$6:$N$205,0),1)&amp;CHAR(10)&amp;INDEX(Tareas!$E$6:$E$205,MATCH(D$5&amp;"_"&amp;4,Tareas!$N$6:$N$205,0),1)&amp;CHAR(10)&amp;INDEX(Tareas!$O$6:$O$205,MATCH(D$5&amp;"_"&amp;4,Tareas!$N$6:$N$205,0),1))</x:f>
      </x:c>
      <x:c r="E9" s="21" t="str">
        <x:f>IF(4&gt;E$4,"",INDEX(Tareas!$A$6:$A$205,MATCH(E$5&amp;"_"&amp;4,Tareas!$N$6:$N$205,0),1)&amp;" · "&amp;INDEX(Tareas!$D$6:$D$205,MATCH(E$5&amp;"_"&amp;4,Tareas!$N$6:$N$205,0),1)&amp;CHAR(10)&amp;INDEX(Tareas!$C$6:$C$205,MATCH(E$5&amp;"_"&amp;4,Tareas!$N$6:$N$205,0),1)&amp;CHAR(10)&amp;INDEX(Tareas!$E$6:$E$205,MATCH(E$5&amp;"_"&amp;4,Tareas!$N$6:$N$205,0),1)&amp;CHAR(10)&amp;INDEX(Tareas!$O$6:$O$205,MATCH(E$5&amp;"_"&amp;4,Tareas!$N$6:$N$205,0),1))</x:f>
      </x:c>
      <x:c r="F9" s="21" t="str">
        <x:f>IF(4&gt;F$4,"",INDEX(Tareas!$A$6:$A$205,MATCH(F$5&amp;"_"&amp;4,Tareas!$N$6:$N$205,0),1)&amp;" · "&amp;INDEX(Tareas!$D$6:$D$205,MATCH(F$5&amp;"_"&amp;4,Tareas!$N$6:$N$205,0),1)&amp;CHAR(10)&amp;INDEX(Tareas!$C$6:$C$205,MATCH(F$5&amp;"_"&amp;4,Tareas!$N$6:$N$205,0),1)&amp;CHAR(10)&amp;INDEX(Tareas!$E$6:$E$205,MATCH(F$5&amp;"_"&amp;4,Tareas!$N$6:$N$205,0),1)&amp;CHAR(10)&amp;INDEX(Tareas!$O$6:$O$205,MATCH(F$5&amp;"_"&amp;4,Tareas!$N$6:$N$205,0),1))</x:f>
        <x:v>T-24 · Futuro
Implementar recuperación de acceso
Por asignar
Pendiente</x:v>
      </x:c>
    </x:row>
    <x:row r="10" ht="76" customHeight="1">
      <x:c r="A10" s="21" t="str">
        <x:f>IF(5&gt;A$4,"",INDEX(Tareas!$A$6:$A$205,MATCH(A$5&amp;"_"&amp;5,Tareas!$N$6:$N$205,0),1)&amp;" · "&amp;INDEX(Tareas!$D$6:$D$205,MATCH(A$5&amp;"_"&amp;5,Tareas!$N$6:$N$205,0),1)&amp;CHAR(10)&amp;INDEX(Tareas!$C$6:$C$205,MATCH(A$5&amp;"_"&amp;5,Tareas!$N$6:$N$205,0),1)&amp;CHAR(10)&amp;INDEX(Tareas!$E$6:$E$205,MATCH(A$5&amp;"_"&amp;5,Tareas!$N$6:$N$205,0),1)&amp;CHAR(10)&amp;INDEX(Tareas!$O$6:$O$205,MATCH(A$5&amp;"_"&amp;5,Tareas!$N$6:$N$205,0),1))</x:f>
        <x:v>T-14 · S2
Agregar registro de cliente
Por asignar
Pendiente</x:v>
      </x:c>
      <x:c r="B10" s="21" t="str">
        <x:f>IF(5&gt;B$4,"",INDEX(Tareas!$A$6:$A$205,MATCH(B$5&amp;"_"&amp;5,Tareas!$N$6:$N$205,0),1)&amp;" · "&amp;INDEX(Tareas!$D$6:$D$205,MATCH(B$5&amp;"_"&amp;5,Tareas!$N$6:$N$205,0),1)&amp;CHAR(10)&amp;INDEX(Tareas!$C$6:$C$205,MATCH(B$5&amp;"_"&amp;5,Tareas!$N$6:$N$205,0),1)&amp;CHAR(10)&amp;INDEX(Tareas!$E$6:$E$205,MATCH(B$5&amp;"_"&amp;5,Tareas!$N$6:$N$205,0),1)&amp;CHAR(10)&amp;INDEX(Tareas!$O$6:$O$205,MATCH(B$5&amp;"_"&amp;5,Tareas!$N$6:$N$205,0),1))</x:f>
        <x:v>T-05 · S1
Completar listado detalle y paginación
Por asignar
Pendiente</x:v>
      </x:c>
      <x:c r="C10" s="21" t="str">
        <x:f>IF(5&gt;C$4,"",INDEX(Tareas!$A$6:$A$205,MATCH(C$5&amp;"_"&amp;5,Tareas!$N$6:$N$205,0),1)&amp;" · "&amp;INDEX(Tareas!$D$6:$D$205,MATCH(C$5&amp;"_"&amp;5,Tareas!$N$6:$N$205,0),1)&amp;CHAR(10)&amp;INDEX(Tareas!$C$6:$C$205,MATCH(C$5&amp;"_"&amp;5,Tareas!$N$6:$N$205,0),1)&amp;CHAR(10)&amp;INDEX(Tareas!$E$6:$E$205,MATCH(C$5&amp;"_"&amp;5,Tareas!$N$6:$N$205,0),1)&amp;CHAR(10)&amp;INDEX(Tareas!$O$6:$O$205,MATCH(C$5&amp;"_"&amp;5,Tareas!$N$6:$N$205,0),1))</x:f>
      </x:c>
      <x:c r="D10" s="21" t="str">
        <x:f>IF(5&gt;D$4,"",INDEX(Tareas!$A$6:$A$205,MATCH(D$5&amp;"_"&amp;5,Tareas!$N$6:$N$205,0),1)&amp;" · "&amp;INDEX(Tareas!$D$6:$D$205,MATCH(D$5&amp;"_"&amp;5,Tareas!$N$6:$N$205,0),1)&amp;CHAR(10)&amp;INDEX(Tareas!$C$6:$C$205,MATCH(D$5&amp;"_"&amp;5,Tareas!$N$6:$N$205,0),1)&amp;CHAR(10)&amp;INDEX(Tareas!$E$6:$E$205,MATCH(D$5&amp;"_"&amp;5,Tareas!$N$6:$N$205,0),1)&amp;CHAR(10)&amp;INDEX(Tareas!$O$6:$O$205,MATCH(D$5&amp;"_"&amp;5,Tareas!$N$6:$N$205,0),1))</x:f>
      </x:c>
      <x:c r="E10" s="21" t="str">
        <x:f>IF(5&gt;E$4,"",INDEX(Tareas!$A$6:$A$205,MATCH(E$5&amp;"_"&amp;5,Tareas!$N$6:$N$205,0),1)&amp;" · "&amp;INDEX(Tareas!$D$6:$D$205,MATCH(E$5&amp;"_"&amp;5,Tareas!$N$6:$N$205,0),1)&amp;CHAR(10)&amp;INDEX(Tareas!$C$6:$C$205,MATCH(E$5&amp;"_"&amp;5,Tareas!$N$6:$N$205,0),1)&amp;CHAR(10)&amp;INDEX(Tareas!$E$6:$E$205,MATCH(E$5&amp;"_"&amp;5,Tareas!$N$6:$N$205,0),1)&amp;CHAR(10)&amp;INDEX(Tareas!$O$6:$O$205,MATCH(E$5&amp;"_"&amp;5,Tareas!$N$6:$N$205,0),1))</x:f>
      </x:c>
      <x:c r="F10" s="21" t="str">
        <x:f>IF(5&gt;F$4,"",INDEX(Tareas!$A$6:$A$205,MATCH(F$5&amp;"_"&amp;5,Tareas!$N$6:$N$205,0),1)&amp;" · "&amp;INDEX(Tareas!$D$6:$D$205,MATCH(F$5&amp;"_"&amp;5,Tareas!$N$6:$N$205,0),1)&amp;CHAR(10)&amp;INDEX(Tareas!$C$6:$C$205,MATCH(F$5&amp;"_"&amp;5,Tareas!$N$6:$N$205,0),1)&amp;CHAR(10)&amp;INDEX(Tareas!$E$6:$E$205,MATCH(F$5&amp;"_"&amp;5,Tareas!$N$6:$N$205,0),1)&amp;CHAR(10)&amp;INDEX(Tareas!$O$6:$O$205,MATCH(F$5&amp;"_"&amp;5,Tareas!$N$6:$N$205,0),1))</x:f>
      </x:c>
    </x:row>
    <x:row r="11" ht="76" customHeight="1">
      <x:c r="A11" s="21" t="str">
        <x:f>IF(6&gt;A$4,"",INDEX(Tareas!$A$6:$A$205,MATCH(A$5&amp;"_"&amp;6,Tareas!$N$6:$N$205,0),1)&amp;" · "&amp;INDEX(Tareas!$D$6:$D$205,MATCH(A$5&amp;"_"&amp;6,Tareas!$N$6:$N$205,0),1)&amp;CHAR(10)&amp;INDEX(Tareas!$C$6:$C$205,MATCH(A$5&amp;"_"&amp;6,Tareas!$N$6:$N$205,0),1)&amp;CHAR(10)&amp;INDEX(Tareas!$E$6:$E$205,MATCH(A$5&amp;"_"&amp;6,Tareas!$N$6:$N$205,0),1)&amp;CHAR(10)&amp;INDEX(Tareas!$O$6:$O$205,MATCH(A$5&amp;"_"&amp;6,Tareas!$N$6:$N$205,0),1))</x:f>
        <x:v>T-15 · S2
Validar ciclo documental y mostrar incremento
Por asignar
Pendiente</x:v>
      </x:c>
      <x:c r="B11" s="21" t="str">
        <x:f>IF(6&gt;B$4,"",INDEX(Tareas!$A$6:$A$205,MATCH(B$5&amp;"_"&amp;6,Tareas!$N$6:$N$205,0),1)&amp;" · "&amp;INDEX(Tareas!$D$6:$D$205,MATCH(B$5&amp;"_"&amp;6,Tareas!$N$6:$N$205,0),1)&amp;CHAR(10)&amp;INDEX(Tareas!$C$6:$C$205,MATCH(B$5&amp;"_"&amp;6,Tareas!$N$6:$N$205,0),1)&amp;CHAR(10)&amp;INDEX(Tareas!$E$6:$E$205,MATCH(B$5&amp;"_"&amp;6,Tareas!$N$6:$N$205,0),1)&amp;CHAR(10)&amp;INDEX(Tareas!$O$6:$O$205,MATCH(B$5&amp;"_"&amp;6,Tareas!$N$6:$N$205,0),1))</x:f>
        <x:v>T-06 · S1
Agregar formulario de transferencia
Por asignar
Pendiente</x:v>
      </x:c>
      <x:c r="C11" s="21" t="str">
        <x:f>IF(6&gt;C$4,"",INDEX(Tareas!$A$6:$A$205,MATCH(C$5&amp;"_"&amp;6,Tareas!$N$6:$N$205,0),1)&amp;" · "&amp;INDEX(Tareas!$D$6:$D$205,MATCH(C$5&amp;"_"&amp;6,Tareas!$N$6:$N$205,0),1)&amp;CHAR(10)&amp;INDEX(Tareas!$C$6:$C$205,MATCH(C$5&amp;"_"&amp;6,Tareas!$N$6:$N$205,0),1)&amp;CHAR(10)&amp;INDEX(Tareas!$E$6:$E$205,MATCH(C$5&amp;"_"&amp;6,Tareas!$N$6:$N$205,0),1)&amp;CHAR(10)&amp;INDEX(Tareas!$O$6:$O$205,MATCH(C$5&amp;"_"&amp;6,Tareas!$N$6:$N$205,0),1))</x:f>
      </x:c>
      <x:c r="D11" s="21" t="str">
        <x:f>IF(6&gt;D$4,"",INDEX(Tareas!$A$6:$A$205,MATCH(D$5&amp;"_"&amp;6,Tareas!$N$6:$N$205,0),1)&amp;" · "&amp;INDEX(Tareas!$D$6:$D$205,MATCH(D$5&amp;"_"&amp;6,Tareas!$N$6:$N$205,0),1)&amp;CHAR(10)&amp;INDEX(Tareas!$C$6:$C$205,MATCH(D$5&amp;"_"&amp;6,Tareas!$N$6:$N$205,0),1)&amp;CHAR(10)&amp;INDEX(Tareas!$E$6:$E$205,MATCH(D$5&amp;"_"&amp;6,Tareas!$N$6:$N$205,0),1)&amp;CHAR(10)&amp;INDEX(Tareas!$O$6:$O$205,MATCH(D$5&amp;"_"&amp;6,Tareas!$N$6:$N$205,0),1))</x:f>
      </x:c>
      <x:c r="E11" s="21" t="str">
        <x:f>IF(6&gt;E$4,"",INDEX(Tareas!$A$6:$A$205,MATCH(E$5&amp;"_"&amp;6,Tareas!$N$6:$N$205,0),1)&amp;" · "&amp;INDEX(Tareas!$D$6:$D$205,MATCH(E$5&amp;"_"&amp;6,Tareas!$N$6:$N$205,0),1)&amp;CHAR(10)&amp;INDEX(Tareas!$C$6:$C$205,MATCH(E$5&amp;"_"&amp;6,Tareas!$N$6:$N$205,0),1)&amp;CHAR(10)&amp;INDEX(Tareas!$E$6:$E$205,MATCH(E$5&amp;"_"&amp;6,Tareas!$N$6:$N$205,0),1)&amp;CHAR(10)&amp;INDEX(Tareas!$O$6:$O$205,MATCH(E$5&amp;"_"&amp;6,Tareas!$N$6:$N$205,0),1))</x:f>
      </x:c>
      <x:c r="F11" s="21" t="str">
        <x:f>IF(6&gt;F$4,"",INDEX(Tareas!$A$6:$A$205,MATCH(F$5&amp;"_"&amp;6,Tareas!$N$6:$N$205,0),1)&amp;" · "&amp;INDEX(Tareas!$D$6:$D$205,MATCH(F$5&amp;"_"&amp;6,Tareas!$N$6:$N$205,0),1)&amp;CHAR(10)&amp;INDEX(Tareas!$C$6:$C$205,MATCH(F$5&amp;"_"&amp;6,Tareas!$N$6:$N$205,0),1)&amp;CHAR(10)&amp;INDEX(Tareas!$E$6:$E$205,MATCH(F$5&amp;"_"&amp;6,Tareas!$N$6:$N$205,0),1)&amp;CHAR(10)&amp;INDEX(Tareas!$O$6:$O$205,MATCH(F$5&amp;"_"&amp;6,Tareas!$N$6:$N$205,0),1))</x:f>
      </x:c>
    </x:row>
    <x:row r="12" ht="76" customHeight="1">
      <x:c r="A12" s="21" t="str">
        <x:f>IF(7&gt;A$4,"",INDEX(Tareas!$A$6:$A$205,MATCH(A$5&amp;"_"&amp;7,Tareas!$N$6:$N$205,0),1)&amp;" · "&amp;INDEX(Tareas!$D$6:$D$205,MATCH(A$5&amp;"_"&amp;7,Tareas!$N$6:$N$205,0),1)&amp;CHAR(10)&amp;INDEX(Tareas!$C$6:$C$205,MATCH(A$5&amp;"_"&amp;7,Tareas!$N$6:$N$205,0),1)&amp;CHAR(10)&amp;INDEX(Tareas!$E$6:$E$205,MATCH(A$5&amp;"_"&amp;7,Tareas!$N$6:$N$205,0),1)&amp;CHAR(10)&amp;INDEX(Tareas!$O$6:$O$205,MATCH(A$5&amp;"_"&amp;7,Tareas!$N$6:$N$205,0),1))</x:f>
        <x:v>T-16 · S3
Conectar usuarios y búsqueda de clientes
Por asignar
Pendiente</x:v>
      </x:c>
      <x:c r="B12" s="21" t="str">
        <x:f>IF(7&gt;B$4,"",INDEX(Tareas!$A$6:$A$205,MATCH(B$5&amp;"_"&amp;7,Tareas!$N$6:$N$205,0),1)&amp;" · "&amp;INDEX(Tareas!$D$6:$D$205,MATCH(B$5&amp;"_"&amp;7,Tareas!$N$6:$N$205,0),1)&amp;CHAR(10)&amp;INDEX(Tareas!$C$6:$C$205,MATCH(B$5&amp;"_"&amp;7,Tareas!$N$6:$N$205,0),1)&amp;CHAR(10)&amp;INDEX(Tareas!$E$6:$E$205,MATCH(B$5&amp;"_"&amp;7,Tareas!$N$6:$N$205,0),1)&amp;CHAR(10)&amp;INDEX(Tareas!$O$6:$O$205,MATCH(B$5&amp;"_"&amp;7,Tareas!$N$6:$N$205,0),1))</x:f>
        <x:v>T-07 · S1
Conectar revisión de pagos en Finanzas
Por asignar
Pendiente</x:v>
      </x:c>
      <x:c r="C12" s="21" t="str">
        <x:f>IF(7&gt;C$4,"",INDEX(Tareas!$A$6:$A$205,MATCH(C$5&amp;"_"&amp;7,Tareas!$N$6:$N$205,0),1)&amp;" · "&amp;INDEX(Tareas!$D$6:$D$205,MATCH(C$5&amp;"_"&amp;7,Tareas!$N$6:$N$205,0),1)&amp;CHAR(10)&amp;INDEX(Tareas!$C$6:$C$205,MATCH(C$5&amp;"_"&amp;7,Tareas!$N$6:$N$205,0),1)&amp;CHAR(10)&amp;INDEX(Tareas!$E$6:$E$205,MATCH(C$5&amp;"_"&amp;7,Tareas!$N$6:$N$205,0),1)&amp;CHAR(10)&amp;INDEX(Tareas!$O$6:$O$205,MATCH(C$5&amp;"_"&amp;7,Tareas!$N$6:$N$205,0),1))</x:f>
      </x:c>
      <x:c r="D12" s="21" t="str">
        <x:f>IF(7&gt;D$4,"",INDEX(Tareas!$A$6:$A$205,MATCH(D$5&amp;"_"&amp;7,Tareas!$N$6:$N$205,0),1)&amp;" · "&amp;INDEX(Tareas!$D$6:$D$205,MATCH(D$5&amp;"_"&amp;7,Tareas!$N$6:$N$205,0),1)&amp;CHAR(10)&amp;INDEX(Tareas!$C$6:$C$205,MATCH(D$5&amp;"_"&amp;7,Tareas!$N$6:$N$205,0),1)&amp;CHAR(10)&amp;INDEX(Tareas!$E$6:$E$205,MATCH(D$5&amp;"_"&amp;7,Tareas!$N$6:$N$205,0),1)&amp;CHAR(10)&amp;INDEX(Tareas!$O$6:$O$205,MATCH(D$5&amp;"_"&amp;7,Tareas!$N$6:$N$205,0),1))</x:f>
      </x:c>
      <x:c r="E12" s="21" t="str">
        <x:f>IF(7&gt;E$4,"",INDEX(Tareas!$A$6:$A$205,MATCH(E$5&amp;"_"&amp;7,Tareas!$N$6:$N$205,0),1)&amp;" · "&amp;INDEX(Tareas!$D$6:$D$205,MATCH(E$5&amp;"_"&amp;7,Tareas!$N$6:$N$205,0),1)&amp;CHAR(10)&amp;INDEX(Tareas!$C$6:$C$205,MATCH(E$5&amp;"_"&amp;7,Tareas!$N$6:$N$205,0),1)&amp;CHAR(10)&amp;INDEX(Tareas!$E$6:$E$205,MATCH(E$5&amp;"_"&amp;7,Tareas!$N$6:$N$205,0),1)&amp;CHAR(10)&amp;INDEX(Tareas!$O$6:$O$205,MATCH(E$5&amp;"_"&amp;7,Tareas!$N$6:$N$205,0),1))</x:f>
      </x:c>
      <x:c r="F12" s="21" t="str">
        <x:f>IF(7&gt;F$4,"",INDEX(Tareas!$A$6:$A$205,MATCH(F$5&amp;"_"&amp;7,Tareas!$N$6:$N$205,0),1)&amp;" · "&amp;INDEX(Tareas!$D$6:$D$205,MATCH(F$5&amp;"_"&amp;7,Tareas!$N$6:$N$205,0),1)&amp;CHAR(10)&amp;INDEX(Tareas!$C$6:$C$205,MATCH(F$5&amp;"_"&amp;7,Tareas!$N$6:$N$205,0),1)&amp;CHAR(10)&amp;INDEX(Tareas!$E$6:$E$205,MATCH(F$5&amp;"_"&amp;7,Tareas!$N$6:$N$205,0),1)&amp;CHAR(10)&amp;INDEX(Tareas!$O$6:$O$205,MATCH(F$5&amp;"_"&amp;7,Tareas!$N$6:$N$205,0),1))</x:f>
      </x:c>
    </x:row>
    <x:row r="13" ht="76" customHeight="1">
      <x:c r="A13" s="21" t="str">
        <x:f>IF(8&gt;A$4,"",INDEX(Tareas!$A$6:$A$205,MATCH(A$5&amp;"_"&amp;8,Tareas!$N$6:$N$205,0),1)&amp;" · "&amp;INDEX(Tareas!$D$6:$D$205,MATCH(A$5&amp;"_"&amp;8,Tareas!$N$6:$N$205,0),1)&amp;CHAR(10)&amp;INDEX(Tareas!$C$6:$C$205,MATCH(A$5&amp;"_"&amp;8,Tareas!$N$6:$N$205,0),1)&amp;CHAR(10)&amp;INDEX(Tareas!$E$6:$E$205,MATCH(A$5&amp;"_"&amp;8,Tareas!$N$6:$N$205,0),1)&amp;CHAR(10)&amp;INDEX(Tareas!$O$6:$O$205,MATCH(A$5&amp;"_"&amp;8,Tareas!$N$6:$N$205,0),1))</x:f>
        <x:v>T-17 · S3
Integrar avisos auditoría e indicadores
Por asignar
Pendiente</x:v>
      </x:c>
      <x:c r="B13" s="21" t="str">
        <x:f>IF(8&gt;B$4,"",INDEX(Tareas!$A$6:$A$205,MATCH(B$5&amp;"_"&amp;8,Tareas!$N$6:$N$205,0),1)&amp;" · "&amp;INDEX(Tareas!$D$6:$D$205,MATCH(B$5&amp;"_"&amp;8,Tareas!$N$6:$N$205,0),1)&amp;CHAR(10)&amp;INDEX(Tareas!$C$6:$C$205,MATCH(B$5&amp;"_"&amp;8,Tareas!$N$6:$N$205,0),1)&amp;CHAR(10)&amp;INDEX(Tareas!$E$6:$E$205,MATCH(B$5&amp;"_"&amp;8,Tareas!$N$6:$N$205,0),1)&amp;CHAR(10)&amp;INDEX(Tareas!$O$6:$O$205,MATCH(B$5&amp;"_"&amp;8,Tareas!$N$6:$N$205,0),1))</x:f>
        <x:v>T-08 · S1
Verificar flujo y permisos del sprint
Por asignar
Pendiente</x:v>
      </x:c>
      <x:c r="C13" s="21" t="str">
        <x:f>IF(8&gt;C$4,"",INDEX(Tareas!$A$6:$A$205,MATCH(C$5&amp;"_"&amp;8,Tareas!$N$6:$N$205,0),1)&amp;" · "&amp;INDEX(Tareas!$D$6:$D$205,MATCH(C$5&amp;"_"&amp;8,Tareas!$N$6:$N$205,0),1)&amp;CHAR(10)&amp;INDEX(Tareas!$C$6:$C$205,MATCH(C$5&amp;"_"&amp;8,Tareas!$N$6:$N$205,0),1)&amp;CHAR(10)&amp;INDEX(Tareas!$E$6:$E$205,MATCH(C$5&amp;"_"&amp;8,Tareas!$N$6:$N$205,0),1)&amp;CHAR(10)&amp;INDEX(Tareas!$O$6:$O$205,MATCH(C$5&amp;"_"&amp;8,Tareas!$N$6:$N$205,0),1))</x:f>
      </x:c>
      <x:c r="D13" s="21" t="str">
        <x:f>IF(8&gt;D$4,"",INDEX(Tareas!$A$6:$A$205,MATCH(D$5&amp;"_"&amp;8,Tareas!$N$6:$N$205,0),1)&amp;" · "&amp;INDEX(Tareas!$D$6:$D$205,MATCH(D$5&amp;"_"&amp;8,Tareas!$N$6:$N$205,0),1)&amp;CHAR(10)&amp;INDEX(Tareas!$C$6:$C$205,MATCH(D$5&amp;"_"&amp;8,Tareas!$N$6:$N$205,0),1)&amp;CHAR(10)&amp;INDEX(Tareas!$E$6:$E$205,MATCH(D$5&amp;"_"&amp;8,Tareas!$N$6:$N$205,0),1)&amp;CHAR(10)&amp;INDEX(Tareas!$O$6:$O$205,MATCH(D$5&amp;"_"&amp;8,Tareas!$N$6:$N$205,0),1))</x:f>
      </x:c>
      <x:c r="E13" s="21" t="str">
        <x:f>IF(8&gt;E$4,"",INDEX(Tareas!$A$6:$A$205,MATCH(E$5&amp;"_"&amp;8,Tareas!$N$6:$N$205,0),1)&amp;" · "&amp;INDEX(Tareas!$D$6:$D$205,MATCH(E$5&amp;"_"&amp;8,Tareas!$N$6:$N$205,0),1)&amp;CHAR(10)&amp;INDEX(Tareas!$C$6:$C$205,MATCH(E$5&amp;"_"&amp;8,Tareas!$N$6:$N$205,0),1)&amp;CHAR(10)&amp;INDEX(Tareas!$E$6:$E$205,MATCH(E$5&amp;"_"&amp;8,Tareas!$N$6:$N$205,0),1)&amp;CHAR(10)&amp;INDEX(Tareas!$O$6:$O$205,MATCH(E$5&amp;"_"&amp;8,Tareas!$N$6:$N$205,0),1))</x:f>
      </x:c>
      <x:c r="F13" s="21" t="str">
        <x:f>IF(8&gt;F$4,"",INDEX(Tareas!$A$6:$A$205,MATCH(F$5&amp;"_"&amp;8,Tareas!$N$6:$N$205,0),1)&amp;" · "&amp;INDEX(Tareas!$D$6:$D$205,MATCH(F$5&amp;"_"&amp;8,Tareas!$N$6:$N$205,0),1)&amp;CHAR(10)&amp;INDEX(Tareas!$C$6:$C$205,MATCH(F$5&amp;"_"&amp;8,Tareas!$N$6:$N$205,0),1)&amp;CHAR(10)&amp;INDEX(Tareas!$E$6:$E$205,MATCH(F$5&amp;"_"&amp;8,Tareas!$N$6:$N$205,0),1)&amp;CHAR(10)&amp;INDEX(Tareas!$O$6:$O$205,MATCH(F$5&amp;"_"&amp;8,Tareas!$N$6:$N$205,0),1))</x:f>
      </x:c>
    </x:row>
    <x:row r="14" ht="76" customHeight="1">
      <x:c r="A14" s="21" t="str">
        <x:f>IF(9&gt;A$4,"",INDEX(Tareas!$A$6:$A$205,MATCH(A$5&amp;"_"&amp;9,Tareas!$N$6:$N$205,0),1)&amp;" · "&amp;INDEX(Tareas!$D$6:$D$205,MATCH(A$5&amp;"_"&amp;9,Tareas!$N$6:$N$205,0),1)&amp;CHAR(10)&amp;INDEX(Tareas!$C$6:$C$205,MATCH(A$5&amp;"_"&amp;9,Tareas!$N$6:$N$205,0),1)&amp;CHAR(10)&amp;INDEX(Tareas!$E$6:$E$205,MATCH(A$5&amp;"_"&amp;9,Tareas!$N$6:$N$205,0),1)&amp;CHAR(10)&amp;INDEX(Tareas!$O$6:$O$205,MATCH(A$5&amp;"_"&amp;9,Tareas!$N$6:$N$205,0),1))</x:f>
        <x:v>T-18 · S3
Conectar reportes y comprobantes
Por asignar
Pendiente</x:v>
      </x:c>
      <x:c r="B14" s="21" t="str">
        <x:f>IF(9&gt;B$4,"",INDEX(Tareas!$A$6:$A$205,MATCH(B$5&amp;"_"&amp;9,Tareas!$N$6:$N$205,0),1)&amp;" · "&amp;INDEX(Tareas!$D$6:$D$205,MATCH(B$5&amp;"_"&amp;9,Tareas!$N$6:$N$205,0),1)&amp;CHAR(10)&amp;INDEX(Tareas!$C$6:$C$205,MATCH(B$5&amp;"_"&amp;9,Tareas!$N$6:$N$205,0),1)&amp;CHAR(10)&amp;INDEX(Tareas!$E$6:$E$205,MATCH(B$5&amp;"_"&amp;9,Tareas!$N$6:$N$205,0),1)&amp;CHAR(10)&amp;INDEX(Tareas!$O$6:$O$205,MATCH(B$5&amp;"_"&amp;9,Tareas!$N$6:$N$205,0),1))</x:f>
        <x:v>T-09 · S1
Registrar demo review y documentación
Por asignar
Pendiente</x:v>
      </x:c>
      <x:c r="C14" s="21" t="str">
        <x:f>IF(9&gt;C$4,"",INDEX(Tareas!$A$6:$A$205,MATCH(C$5&amp;"_"&amp;9,Tareas!$N$6:$N$205,0),1)&amp;" · "&amp;INDEX(Tareas!$D$6:$D$205,MATCH(C$5&amp;"_"&amp;9,Tareas!$N$6:$N$205,0),1)&amp;CHAR(10)&amp;INDEX(Tareas!$C$6:$C$205,MATCH(C$5&amp;"_"&amp;9,Tareas!$N$6:$N$205,0),1)&amp;CHAR(10)&amp;INDEX(Tareas!$E$6:$E$205,MATCH(C$5&amp;"_"&amp;9,Tareas!$N$6:$N$205,0),1)&amp;CHAR(10)&amp;INDEX(Tareas!$O$6:$O$205,MATCH(C$5&amp;"_"&amp;9,Tareas!$N$6:$N$205,0),1))</x:f>
      </x:c>
      <x:c r="D14" s="21" t="str">
        <x:f>IF(9&gt;D$4,"",INDEX(Tareas!$A$6:$A$205,MATCH(D$5&amp;"_"&amp;9,Tareas!$N$6:$N$205,0),1)&amp;" · "&amp;INDEX(Tareas!$D$6:$D$205,MATCH(D$5&amp;"_"&amp;9,Tareas!$N$6:$N$205,0),1)&amp;CHAR(10)&amp;INDEX(Tareas!$C$6:$C$205,MATCH(D$5&amp;"_"&amp;9,Tareas!$N$6:$N$205,0),1)&amp;CHAR(10)&amp;INDEX(Tareas!$E$6:$E$205,MATCH(D$5&amp;"_"&amp;9,Tareas!$N$6:$N$205,0),1)&amp;CHAR(10)&amp;INDEX(Tareas!$O$6:$O$205,MATCH(D$5&amp;"_"&amp;9,Tareas!$N$6:$N$205,0),1))</x:f>
      </x:c>
      <x:c r="E14" s="21" t="str">
        <x:f>IF(9&gt;E$4,"",INDEX(Tareas!$A$6:$A$205,MATCH(E$5&amp;"_"&amp;9,Tareas!$N$6:$N$205,0),1)&amp;" · "&amp;INDEX(Tareas!$D$6:$D$205,MATCH(E$5&amp;"_"&amp;9,Tareas!$N$6:$N$205,0),1)&amp;CHAR(10)&amp;INDEX(Tareas!$C$6:$C$205,MATCH(E$5&amp;"_"&amp;9,Tareas!$N$6:$N$205,0),1)&amp;CHAR(10)&amp;INDEX(Tareas!$E$6:$E$205,MATCH(E$5&amp;"_"&amp;9,Tareas!$N$6:$N$205,0),1)&amp;CHAR(10)&amp;INDEX(Tareas!$O$6:$O$205,MATCH(E$5&amp;"_"&amp;9,Tareas!$N$6:$N$205,0),1))</x:f>
      </x:c>
      <x:c r="F14" s="21" t="str">
        <x:f>IF(9&gt;F$4,"",INDEX(Tareas!$A$6:$A$205,MATCH(F$5&amp;"_"&amp;9,Tareas!$N$6:$N$205,0),1)&amp;" · "&amp;INDEX(Tareas!$D$6:$D$205,MATCH(F$5&amp;"_"&amp;9,Tareas!$N$6:$N$205,0),1)&amp;CHAR(10)&amp;INDEX(Tareas!$C$6:$C$205,MATCH(F$5&amp;"_"&amp;9,Tareas!$N$6:$N$205,0),1)&amp;CHAR(10)&amp;INDEX(Tareas!$E$6:$E$205,MATCH(F$5&amp;"_"&amp;9,Tareas!$N$6:$N$205,0),1)&amp;CHAR(10)&amp;INDEX(Tareas!$O$6:$O$205,MATCH(F$5&amp;"_"&amp;9,Tareas!$N$6:$N$205,0),1))</x:f>
      </x:c>
    </x:row>
    <x:row r="15" ht="76" customHeight="1">
      <x:c r="A15" s="21" t="str">
        <x:f>IF(10&gt;A$4,"",INDEX(Tareas!$A$6:$A$205,MATCH(A$5&amp;"_"&amp;10,Tareas!$N$6:$N$205,0),1)&amp;" · "&amp;INDEX(Tareas!$D$6:$D$205,MATCH(A$5&amp;"_"&amp;10,Tareas!$N$6:$N$205,0),1)&amp;CHAR(10)&amp;INDEX(Tareas!$C$6:$C$205,MATCH(A$5&amp;"_"&amp;10,Tareas!$N$6:$N$205,0),1)&amp;CHAR(10)&amp;INDEX(Tareas!$E$6:$E$205,MATCH(A$5&amp;"_"&amp;10,Tareas!$N$6:$N$205,0),1)&amp;CHAR(10)&amp;INDEX(Tareas!$O$6:$O$205,MATCH(A$5&amp;"_"&amp;10,Tareas!$N$6:$N$205,0),1))</x:f>
        <x:v>T-19 · S3
Probar rendimiento y restauración
Por asignar
Pendiente</x:v>
      </x:c>
      <x:c r="B15" s="21" t="str">
        <x:f>IF(10&gt;B$4,"",INDEX(Tareas!$A$6:$A$205,MATCH(B$5&amp;"_"&amp;10,Tareas!$N$6:$N$205,0),1)&amp;" · "&amp;INDEX(Tareas!$D$6:$D$205,MATCH(B$5&amp;"_"&amp;10,Tareas!$N$6:$N$205,0),1)&amp;CHAR(10)&amp;INDEX(Tareas!$C$6:$C$205,MATCH(B$5&amp;"_"&amp;10,Tareas!$N$6:$N$205,0),1)&amp;CHAR(10)&amp;INDEX(Tareas!$E$6:$E$205,MATCH(B$5&amp;"_"&amp;10,Tareas!$N$6:$N$205,0),1)&amp;CHAR(10)&amp;INDEX(Tareas!$O$6:$O$205,MATCH(B$5&amp;"_"&amp;10,Tareas!$N$6:$N$205,0),1))</x:f>
      </x:c>
      <x:c r="C15" s="21" t="str">
        <x:f>IF(10&gt;C$4,"",INDEX(Tareas!$A$6:$A$205,MATCH(C$5&amp;"_"&amp;10,Tareas!$N$6:$N$205,0),1)&amp;" · "&amp;INDEX(Tareas!$D$6:$D$205,MATCH(C$5&amp;"_"&amp;10,Tareas!$N$6:$N$205,0),1)&amp;CHAR(10)&amp;INDEX(Tareas!$C$6:$C$205,MATCH(C$5&amp;"_"&amp;10,Tareas!$N$6:$N$205,0),1)&amp;CHAR(10)&amp;INDEX(Tareas!$E$6:$E$205,MATCH(C$5&amp;"_"&amp;10,Tareas!$N$6:$N$205,0),1)&amp;CHAR(10)&amp;INDEX(Tareas!$O$6:$O$205,MATCH(C$5&amp;"_"&amp;10,Tareas!$N$6:$N$205,0),1))</x:f>
      </x:c>
      <x:c r="D15" s="21" t="str">
        <x:f>IF(10&gt;D$4,"",INDEX(Tareas!$A$6:$A$205,MATCH(D$5&amp;"_"&amp;10,Tareas!$N$6:$N$205,0),1)&amp;" · "&amp;INDEX(Tareas!$D$6:$D$205,MATCH(D$5&amp;"_"&amp;10,Tareas!$N$6:$N$205,0),1)&amp;CHAR(10)&amp;INDEX(Tareas!$C$6:$C$205,MATCH(D$5&amp;"_"&amp;10,Tareas!$N$6:$N$205,0),1)&amp;CHAR(10)&amp;INDEX(Tareas!$E$6:$E$205,MATCH(D$5&amp;"_"&amp;10,Tareas!$N$6:$N$205,0),1)&amp;CHAR(10)&amp;INDEX(Tareas!$O$6:$O$205,MATCH(D$5&amp;"_"&amp;10,Tareas!$N$6:$N$205,0),1))</x:f>
      </x:c>
      <x:c r="E15" s="21" t="str">
        <x:f>IF(10&gt;E$4,"",INDEX(Tareas!$A$6:$A$205,MATCH(E$5&amp;"_"&amp;10,Tareas!$N$6:$N$205,0),1)&amp;" · "&amp;INDEX(Tareas!$D$6:$D$205,MATCH(E$5&amp;"_"&amp;10,Tareas!$N$6:$N$205,0),1)&amp;CHAR(10)&amp;INDEX(Tareas!$C$6:$C$205,MATCH(E$5&amp;"_"&amp;10,Tareas!$N$6:$N$205,0),1)&amp;CHAR(10)&amp;INDEX(Tareas!$E$6:$E$205,MATCH(E$5&amp;"_"&amp;10,Tareas!$N$6:$N$205,0),1)&amp;CHAR(10)&amp;INDEX(Tareas!$O$6:$O$205,MATCH(E$5&amp;"_"&amp;10,Tareas!$N$6:$N$205,0),1))</x:f>
      </x:c>
      <x:c r="F15" s="21" t="str">
        <x:f>IF(10&gt;F$4,"",INDEX(Tareas!$A$6:$A$205,MATCH(F$5&amp;"_"&amp;10,Tareas!$N$6:$N$205,0),1)&amp;" · "&amp;INDEX(Tareas!$D$6:$D$205,MATCH(F$5&amp;"_"&amp;10,Tareas!$N$6:$N$205,0),1)&amp;CHAR(10)&amp;INDEX(Tareas!$C$6:$C$205,MATCH(F$5&amp;"_"&amp;10,Tareas!$N$6:$N$205,0),1)&amp;CHAR(10)&amp;INDEX(Tareas!$E$6:$E$205,MATCH(F$5&amp;"_"&amp;10,Tareas!$N$6:$N$205,0),1)&amp;CHAR(10)&amp;INDEX(Tareas!$O$6:$O$205,MATCH(F$5&amp;"_"&amp;10,Tareas!$N$6:$N$205,0),1))</x:f>
      </x:c>
    </x:row>
    <x:row r="16" ht="76" customHeight="1">
      <x:c r="A16" s="21" t="str">
        <x:f>IF(11&gt;A$4,"",INDEX(Tareas!$A$6:$A$205,MATCH(A$5&amp;"_"&amp;11,Tareas!$N$6:$N$205,0),1)&amp;" · "&amp;INDEX(Tareas!$D$6:$D$205,MATCH(A$5&amp;"_"&amp;11,Tareas!$N$6:$N$205,0),1)&amp;CHAR(10)&amp;INDEX(Tareas!$C$6:$C$205,MATCH(A$5&amp;"_"&amp;11,Tareas!$N$6:$N$205,0),1)&amp;CHAR(10)&amp;INDEX(Tareas!$E$6:$E$205,MATCH(A$5&amp;"_"&amp;11,Tareas!$N$6:$N$205,0),1)&amp;CHAR(10)&amp;INDEX(Tareas!$O$6:$O$205,MATCH(A$5&amp;"_"&amp;11,Tareas!$N$6:$N$205,0),1))</x:f>
        <x:v>T-20 · S3
Validar usabilidad y preparar entrega
Por asignar
Pendiente</x:v>
      </x:c>
      <x:c r="B16" s="21" t="str">
        <x:f>IF(11&gt;B$4,"",INDEX(Tareas!$A$6:$A$205,MATCH(B$5&amp;"_"&amp;11,Tareas!$N$6:$N$205,0),1)&amp;" · "&amp;INDEX(Tareas!$D$6:$D$205,MATCH(B$5&amp;"_"&amp;11,Tareas!$N$6:$N$205,0),1)&amp;CHAR(10)&amp;INDEX(Tareas!$C$6:$C$205,MATCH(B$5&amp;"_"&amp;11,Tareas!$N$6:$N$205,0),1)&amp;CHAR(10)&amp;INDEX(Tareas!$E$6:$E$205,MATCH(B$5&amp;"_"&amp;11,Tareas!$N$6:$N$205,0),1)&amp;CHAR(10)&amp;INDEX(Tareas!$O$6:$O$205,MATCH(B$5&amp;"_"&amp;11,Tareas!$N$6:$N$205,0),1))</x:f>
      </x:c>
      <x:c r="C16" s="21" t="str">
        <x:f>IF(11&gt;C$4,"",INDEX(Tareas!$A$6:$A$205,MATCH(C$5&amp;"_"&amp;11,Tareas!$N$6:$N$205,0),1)&amp;" · "&amp;INDEX(Tareas!$D$6:$D$205,MATCH(C$5&amp;"_"&amp;11,Tareas!$N$6:$N$205,0),1)&amp;CHAR(10)&amp;INDEX(Tareas!$C$6:$C$205,MATCH(C$5&amp;"_"&amp;11,Tareas!$N$6:$N$205,0),1)&amp;CHAR(10)&amp;INDEX(Tareas!$E$6:$E$205,MATCH(C$5&amp;"_"&amp;11,Tareas!$N$6:$N$205,0),1)&amp;CHAR(10)&amp;INDEX(Tareas!$O$6:$O$205,MATCH(C$5&amp;"_"&amp;11,Tareas!$N$6:$N$205,0),1))</x:f>
      </x:c>
      <x:c r="D16" s="21" t="str">
        <x:f>IF(11&gt;D$4,"",INDEX(Tareas!$A$6:$A$205,MATCH(D$5&amp;"_"&amp;11,Tareas!$N$6:$N$205,0),1)&amp;" · "&amp;INDEX(Tareas!$D$6:$D$205,MATCH(D$5&amp;"_"&amp;11,Tareas!$N$6:$N$205,0),1)&amp;CHAR(10)&amp;INDEX(Tareas!$C$6:$C$205,MATCH(D$5&amp;"_"&amp;11,Tareas!$N$6:$N$205,0),1)&amp;CHAR(10)&amp;INDEX(Tareas!$E$6:$E$205,MATCH(D$5&amp;"_"&amp;11,Tareas!$N$6:$N$205,0),1)&amp;CHAR(10)&amp;INDEX(Tareas!$O$6:$O$205,MATCH(D$5&amp;"_"&amp;11,Tareas!$N$6:$N$205,0),1))</x:f>
      </x:c>
      <x:c r="E16" s="21" t="str">
        <x:f>IF(11&gt;E$4,"",INDEX(Tareas!$A$6:$A$205,MATCH(E$5&amp;"_"&amp;11,Tareas!$N$6:$N$205,0),1)&amp;" · "&amp;INDEX(Tareas!$D$6:$D$205,MATCH(E$5&amp;"_"&amp;11,Tareas!$N$6:$N$205,0),1)&amp;CHAR(10)&amp;INDEX(Tareas!$C$6:$C$205,MATCH(E$5&amp;"_"&amp;11,Tareas!$N$6:$N$205,0),1)&amp;CHAR(10)&amp;INDEX(Tareas!$E$6:$E$205,MATCH(E$5&amp;"_"&amp;11,Tareas!$N$6:$N$205,0),1)&amp;CHAR(10)&amp;INDEX(Tareas!$O$6:$O$205,MATCH(E$5&amp;"_"&amp;11,Tareas!$N$6:$N$205,0),1))</x:f>
      </x:c>
      <x:c r="F16" s="21" t="str">
        <x:f>IF(11&gt;F$4,"",INDEX(Tareas!$A$6:$A$205,MATCH(F$5&amp;"_"&amp;11,Tareas!$N$6:$N$205,0),1)&amp;" · "&amp;INDEX(Tareas!$D$6:$D$205,MATCH(F$5&amp;"_"&amp;11,Tareas!$N$6:$N$205,0),1)&amp;CHAR(10)&amp;INDEX(Tareas!$C$6:$C$205,MATCH(F$5&amp;"_"&amp;11,Tareas!$N$6:$N$205,0),1)&amp;CHAR(10)&amp;INDEX(Tareas!$E$6:$E$205,MATCH(F$5&amp;"_"&amp;11,Tareas!$N$6:$N$205,0),1)&amp;CHAR(10)&amp;INDEX(Tareas!$O$6:$O$205,MATCH(F$5&amp;"_"&amp;11,Tareas!$N$6:$N$205,0),1))</x:f>
      </x:c>
    </x:row>
    <x:row r="17" ht="76" customHeight="1">
      <x:c r="A17" s="21" t="str">
        <x:f>IF(12&gt;A$4,"",INDEX(Tareas!$A$6:$A$205,MATCH(A$5&amp;"_"&amp;12,Tareas!$N$6:$N$205,0),1)&amp;" · "&amp;INDEX(Tareas!$D$6:$D$205,MATCH(A$5&amp;"_"&amp;12,Tareas!$N$6:$N$205,0),1)&amp;CHAR(10)&amp;INDEX(Tareas!$C$6:$C$205,MATCH(A$5&amp;"_"&amp;12,Tareas!$N$6:$N$205,0),1)&amp;CHAR(10)&amp;INDEX(Tareas!$E$6:$E$205,MATCH(A$5&amp;"_"&amp;12,Tareas!$N$6:$N$205,0),1)&amp;CHAR(10)&amp;INDEX(Tareas!$O$6:$O$205,MATCH(A$5&amp;"_"&amp;12,Tareas!$N$6:$N$205,0),1))</x:f>
      </x:c>
      <x:c r="B17" s="21" t="str">
        <x:f>IF(12&gt;B$4,"",INDEX(Tareas!$A$6:$A$205,MATCH(B$5&amp;"_"&amp;12,Tareas!$N$6:$N$205,0),1)&amp;" · "&amp;INDEX(Tareas!$D$6:$D$205,MATCH(B$5&amp;"_"&amp;12,Tareas!$N$6:$N$205,0),1)&amp;CHAR(10)&amp;INDEX(Tareas!$C$6:$C$205,MATCH(B$5&amp;"_"&amp;12,Tareas!$N$6:$N$205,0),1)&amp;CHAR(10)&amp;INDEX(Tareas!$E$6:$E$205,MATCH(B$5&amp;"_"&amp;12,Tareas!$N$6:$N$205,0),1)&amp;CHAR(10)&amp;INDEX(Tareas!$O$6:$O$205,MATCH(B$5&amp;"_"&amp;12,Tareas!$N$6:$N$205,0),1))</x:f>
      </x:c>
      <x:c r="C17" s="21" t="str">
        <x:f>IF(12&gt;C$4,"",INDEX(Tareas!$A$6:$A$205,MATCH(C$5&amp;"_"&amp;12,Tareas!$N$6:$N$205,0),1)&amp;" · "&amp;INDEX(Tareas!$D$6:$D$205,MATCH(C$5&amp;"_"&amp;12,Tareas!$N$6:$N$205,0),1)&amp;CHAR(10)&amp;INDEX(Tareas!$C$6:$C$205,MATCH(C$5&amp;"_"&amp;12,Tareas!$N$6:$N$205,0),1)&amp;CHAR(10)&amp;INDEX(Tareas!$E$6:$E$205,MATCH(C$5&amp;"_"&amp;12,Tareas!$N$6:$N$205,0),1)&amp;CHAR(10)&amp;INDEX(Tareas!$O$6:$O$205,MATCH(C$5&amp;"_"&amp;12,Tareas!$N$6:$N$205,0),1))</x:f>
      </x:c>
      <x:c r="D17" s="21" t="str">
        <x:f>IF(12&gt;D$4,"",INDEX(Tareas!$A$6:$A$205,MATCH(D$5&amp;"_"&amp;12,Tareas!$N$6:$N$205,0),1)&amp;" · "&amp;INDEX(Tareas!$D$6:$D$205,MATCH(D$5&amp;"_"&amp;12,Tareas!$N$6:$N$205,0),1)&amp;CHAR(10)&amp;INDEX(Tareas!$C$6:$C$205,MATCH(D$5&amp;"_"&amp;12,Tareas!$N$6:$N$205,0),1)&amp;CHAR(10)&amp;INDEX(Tareas!$E$6:$E$205,MATCH(D$5&amp;"_"&amp;12,Tareas!$N$6:$N$205,0),1)&amp;CHAR(10)&amp;INDEX(Tareas!$O$6:$O$205,MATCH(D$5&amp;"_"&amp;12,Tareas!$N$6:$N$205,0),1))</x:f>
      </x:c>
      <x:c r="E17" s="21" t="str">
        <x:f>IF(12&gt;E$4,"",INDEX(Tareas!$A$6:$A$205,MATCH(E$5&amp;"_"&amp;12,Tareas!$N$6:$N$205,0),1)&amp;" · "&amp;INDEX(Tareas!$D$6:$D$205,MATCH(E$5&amp;"_"&amp;12,Tareas!$N$6:$N$205,0),1)&amp;CHAR(10)&amp;INDEX(Tareas!$C$6:$C$205,MATCH(E$5&amp;"_"&amp;12,Tareas!$N$6:$N$205,0),1)&amp;CHAR(10)&amp;INDEX(Tareas!$E$6:$E$205,MATCH(E$5&amp;"_"&amp;12,Tareas!$N$6:$N$205,0),1)&amp;CHAR(10)&amp;INDEX(Tareas!$O$6:$O$205,MATCH(E$5&amp;"_"&amp;12,Tareas!$N$6:$N$205,0),1))</x:f>
      </x:c>
      <x:c r="F17" s="21" t="str">
        <x:f>IF(12&gt;F$4,"",INDEX(Tareas!$A$6:$A$205,MATCH(F$5&amp;"_"&amp;12,Tareas!$N$6:$N$205,0),1)&amp;" · "&amp;INDEX(Tareas!$D$6:$D$205,MATCH(F$5&amp;"_"&amp;12,Tareas!$N$6:$N$205,0),1)&amp;CHAR(10)&amp;INDEX(Tareas!$C$6:$C$205,MATCH(F$5&amp;"_"&amp;12,Tareas!$N$6:$N$205,0),1)&amp;CHAR(10)&amp;INDEX(Tareas!$E$6:$E$205,MATCH(F$5&amp;"_"&amp;12,Tareas!$N$6:$N$205,0),1)&amp;CHAR(10)&amp;INDEX(Tareas!$O$6:$O$205,MATCH(F$5&amp;"_"&amp;12,Tareas!$N$6:$N$205,0),1))</x:f>
      </x:c>
    </x:row>
    <x:row r="18" ht="76" customHeight="1">
      <x:c r="A18" s="21" t="str">
        <x:f>IF(13&gt;A$4,"",INDEX(Tareas!$A$6:$A$205,MATCH(A$5&amp;"_"&amp;13,Tareas!$N$6:$N$205,0),1)&amp;" · "&amp;INDEX(Tareas!$D$6:$D$205,MATCH(A$5&amp;"_"&amp;13,Tareas!$N$6:$N$205,0),1)&amp;CHAR(10)&amp;INDEX(Tareas!$C$6:$C$205,MATCH(A$5&amp;"_"&amp;13,Tareas!$N$6:$N$205,0),1)&amp;CHAR(10)&amp;INDEX(Tareas!$E$6:$E$205,MATCH(A$5&amp;"_"&amp;13,Tareas!$N$6:$N$205,0),1)&amp;CHAR(10)&amp;INDEX(Tareas!$O$6:$O$205,MATCH(A$5&amp;"_"&amp;13,Tareas!$N$6:$N$205,0),1))</x:f>
      </x:c>
      <x:c r="B18" s="21" t="str">
        <x:f>IF(13&gt;B$4,"",INDEX(Tareas!$A$6:$A$205,MATCH(B$5&amp;"_"&amp;13,Tareas!$N$6:$N$205,0),1)&amp;" · "&amp;INDEX(Tareas!$D$6:$D$205,MATCH(B$5&amp;"_"&amp;13,Tareas!$N$6:$N$205,0),1)&amp;CHAR(10)&amp;INDEX(Tareas!$C$6:$C$205,MATCH(B$5&amp;"_"&amp;13,Tareas!$N$6:$N$205,0),1)&amp;CHAR(10)&amp;INDEX(Tareas!$E$6:$E$205,MATCH(B$5&amp;"_"&amp;13,Tareas!$N$6:$N$205,0),1)&amp;CHAR(10)&amp;INDEX(Tareas!$O$6:$O$205,MATCH(B$5&amp;"_"&amp;13,Tareas!$N$6:$N$205,0),1))</x:f>
      </x:c>
      <x:c r="C18" s="21" t="str">
        <x:f>IF(13&gt;C$4,"",INDEX(Tareas!$A$6:$A$205,MATCH(C$5&amp;"_"&amp;13,Tareas!$N$6:$N$205,0),1)&amp;" · "&amp;INDEX(Tareas!$D$6:$D$205,MATCH(C$5&amp;"_"&amp;13,Tareas!$N$6:$N$205,0),1)&amp;CHAR(10)&amp;INDEX(Tareas!$C$6:$C$205,MATCH(C$5&amp;"_"&amp;13,Tareas!$N$6:$N$205,0),1)&amp;CHAR(10)&amp;INDEX(Tareas!$E$6:$E$205,MATCH(C$5&amp;"_"&amp;13,Tareas!$N$6:$N$205,0),1)&amp;CHAR(10)&amp;INDEX(Tareas!$O$6:$O$205,MATCH(C$5&amp;"_"&amp;13,Tareas!$N$6:$N$205,0),1))</x:f>
      </x:c>
      <x:c r="D18" s="21" t="str">
        <x:f>IF(13&gt;D$4,"",INDEX(Tareas!$A$6:$A$205,MATCH(D$5&amp;"_"&amp;13,Tareas!$N$6:$N$205,0),1)&amp;" · "&amp;INDEX(Tareas!$D$6:$D$205,MATCH(D$5&amp;"_"&amp;13,Tareas!$N$6:$N$205,0),1)&amp;CHAR(10)&amp;INDEX(Tareas!$C$6:$C$205,MATCH(D$5&amp;"_"&amp;13,Tareas!$N$6:$N$205,0),1)&amp;CHAR(10)&amp;INDEX(Tareas!$E$6:$E$205,MATCH(D$5&amp;"_"&amp;13,Tareas!$N$6:$N$205,0),1)&amp;CHAR(10)&amp;INDEX(Tareas!$O$6:$O$205,MATCH(D$5&amp;"_"&amp;13,Tareas!$N$6:$N$205,0),1))</x:f>
      </x:c>
      <x:c r="E18" s="21" t="str">
        <x:f>IF(13&gt;E$4,"",INDEX(Tareas!$A$6:$A$205,MATCH(E$5&amp;"_"&amp;13,Tareas!$N$6:$N$205,0),1)&amp;" · "&amp;INDEX(Tareas!$D$6:$D$205,MATCH(E$5&amp;"_"&amp;13,Tareas!$N$6:$N$205,0),1)&amp;CHAR(10)&amp;INDEX(Tareas!$C$6:$C$205,MATCH(E$5&amp;"_"&amp;13,Tareas!$N$6:$N$205,0),1)&amp;CHAR(10)&amp;INDEX(Tareas!$E$6:$E$205,MATCH(E$5&amp;"_"&amp;13,Tareas!$N$6:$N$205,0),1)&amp;CHAR(10)&amp;INDEX(Tareas!$O$6:$O$205,MATCH(E$5&amp;"_"&amp;13,Tareas!$N$6:$N$205,0),1))</x:f>
      </x:c>
      <x:c r="F18" s="21" t="str">
        <x:f>IF(13&gt;F$4,"",INDEX(Tareas!$A$6:$A$205,MATCH(F$5&amp;"_"&amp;13,Tareas!$N$6:$N$205,0),1)&amp;" · "&amp;INDEX(Tareas!$D$6:$D$205,MATCH(F$5&amp;"_"&amp;13,Tareas!$N$6:$N$205,0),1)&amp;CHAR(10)&amp;INDEX(Tareas!$C$6:$C$205,MATCH(F$5&amp;"_"&amp;13,Tareas!$N$6:$N$205,0),1)&amp;CHAR(10)&amp;INDEX(Tareas!$E$6:$E$205,MATCH(F$5&amp;"_"&amp;13,Tareas!$N$6:$N$205,0),1)&amp;CHAR(10)&amp;INDEX(Tareas!$O$6:$O$205,MATCH(F$5&amp;"_"&amp;13,Tareas!$N$6:$N$205,0),1))</x:f>
      </x:c>
    </x:row>
    <x:row r="19" ht="76" customHeight="1">
      <x:c r="A19" s="21" t="str">
        <x:f>IF(14&gt;A$4,"",INDEX(Tareas!$A$6:$A$205,MATCH(A$5&amp;"_"&amp;14,Tareas!$N$6:$N$205,0),1)&amp;" · "&amp;INDEX(Tareas!$D$6:$D$205,MATCH(A$5&amp;"_"&amp;14,Tareas!$N$6:$N$205,0),1)&amp;CHAR(10)&amp;INDEX(Tareas!$C$6:$C$205,MATCH(A$5&amp;"_"&amp;14,Tareas!$N$6:$N$205,0),1)&amp;CHAR(10)&amp;INDEX(Tareas!$E$6:$E$205,MATCH(A$5&amp;"_"&amp;14,Tareas!$N$6:$N$205,0),1)&amp;CHAR(10)&amp;INDEX(Tareas!$O$6:$O$205,MATCH(A$5&amp;"_"&amp;14,Tareas!$N$6:$N$205,0),1))</x:f>
      </x:c>
      <x:c r="B19" s="21" t="str">
        <x:f>IF(14&gt;B$4,"",INDEX(Tareas!$A$6:$A$205,MATCH(B$5&amp;"_"&amp;14,Tareas!$N$6:$N$205,0),1)&amp;" · "&amp;INDEX(Tareas!$D$6:$D$205,MATCH(B$5&amp;"_"&amp;14,Tareas!$N$6:$N$205,0),1)&amp;CHAR(10)&amp;INDEX(Tareas!$C$6:$C$205,MATCH(B$5&amp;"_"&amp;14,Tareas!$N$6:$N$205,0),1)&amp;CHAR(10)&amp;INDEX(Tareas!$E$6:$E$205,MATCH(B$5&amp;"_"&amp;14,Tareas!$N$6:$N$205,0),1)&amp;CHAR(10)&amp;INDEX(Tareas!$O$6:$O$205,MATCH(B$5&amp;"_"&amp;14,Tareas!$N$6:$N$205,0),1))</x:f>
      </x:c>
      <x:c r="C19" s="21" t="str">
        <x:f>IF(14&gt;C$4,"",INDEX(Tareas!$A$6:$A$205,MATCH(C$5&amp;"_"&amp;14,Tareas!$N$6:$N$205,0),1)&amp;" · "&amp;INDEX(Tareas!$D$6:$D$205,MATCH(C$5&amp;"_"&amp;14,Tareas!$N$6:$N$205,0),1)&amp;CHAR(10)&amp;INDEX(Tareas!$C$6:$C$205,MATCH(C$5&amp;"_"&amp;14,Tareas!$N$6:$N$205,0),1)&amp;CHAR(10)&amp;INDEX(Tareas!$E$6:$E$205,MATCH(C$5&amp;"_"&amp;14,Tareas!$N$6:$N$205,0),1)&amp;CHAR(10)&amp;INDEX(Tareas!$O$6:$O$205,MATCH(C$5&amp;"_"&amp;14,Tareas!$N$6:$N$205,0),1))</x:f>
      </x:c>
      <x:c r="D19" s="21" t="str">
        <x:f>IF(14&gt;D$4,"",INDEX(Tareas!$A$6:$A$205,MATCH(D$5&amp;"_"&amp;14,Tareas!$N$6:$N$205,0),1)&amp;" · "&amp;INDEX(Tareas!$D$6:$D$205,MATCH(D$5&amp;"_"&amp;14,Tareas!$N$6:$N$205,0),1)&amp;CHAR(10)&amp;INDEX(Tareas!$C$6:$C$205,MATCH(D$5&amp;"_"&amp;14,Tareas!$N$6:$N$205,0),1)&amp;CHAR(10)&amp;INDEX(Tareas!$E$6:$E$205,MATCH(D$5&amp;"_"&amp;14,Tareas!$N$6:$N$205,0),1)&amp;CHAR(10)&amp;INDEX(Tareas!$O$6:$O$205,MATCH(D$5&amp;"_"&amp;14,Tareas!$N$6:$N$205,0),1))</x:f>
      </x:c>
      <x:c r="E19" s="21" t="str">
        <x:f>IF(14&gt;E$4,"",INDEX(Tareas!$A$6:$A$205,MATCH(E$5&amp;"_"&amp;14,Tareas!$N$6:$N$205,0),1)&amp;" · "&amp;INDEX(Tareas!$D$6:$D$205,MATCH(E$5&amp;"_"&amp;14,Tareas!$N$6:$N$205,0),1)&amp;CHAR(10)&amp;INDEX(Tareas!$C$6:$C$205,MATCH(E$5&amp;"_"&amp;14,Tareas!$N$6:$N$205,0),1)&amp;CHAR(10)&amp;INDEX(Tareas!$E$6:$E$205,MATCH(E$5&amp;"_"&amp;14,Tareas!$N$6:$N$205,0),1)&amp;CHAR(10)&amp;INDEX(Tareas!$O$6:$O$205,MATCH(E$5&amp;"_"&amp;14,Tareas!$N$6:$N$205,0),1))</x:f>
      </x:c>
      <x:c r="F19" s="21" t="str">
        <x:f>IF(14&gt;F$4,"",INDEX(Tareas!$A$6:$A$205,MATCH(F$5&amp;"_"&amp;14,Tareas!$N$6:$N$205,0),1)&amp;" · "&amp;INDEX(Tareas!$D$6:$D$205,MATCH(F$5&amp;"_"&amp;14,Tareas!$N$6:$N$205,0),1)&amp;CHAR(10)&amp;INDEX(Tareas!$C$6:$C$205,MATCH(F$5&amp;"_"&amp;14,Tareas!$N$6:$N$205,0),1)&amp;CHAR(10)&amp;INDEX(Tareas!$E$6:$E$205,MATCH(F$5&amp;"_"&amp;14,Tareas!$N$6:$N$205,0),1)&amp;CHAR(10)&amp;INDEX(Tareas!$O$6:$O$205,MATCH(F$5&amp;"_"&amp;14,Tareas!$N$6:$N$205,0),1))</x:f>
      </x:c>
    </x:row>
    <x:row r="20" ht="76" customHeight="1">
      <x:c r="A20" s="21" t="str">
        <x:f>IF(15&gt;A$4,"",INDEX(Tareas!$A$6:$A$205,MATCH(A$5&amp;"_"&amp;15,Tareas!$N$6:$N$205,0),1)&amp;" · "&amp;INDEX(Tareas!$D$6:$D$205,MATCH(A$5&amp;"_"&amp;15,Tareas!$N$6:$N$205,0),1)&amp;CHAR(10)&amp;INDEX(Tareas!$C$6:$C$205,MATCH(A$5&amp;"_"&amp;15,Tareas!$N$6:$N$205,0),1)&amp;CHAR(10)&amp;INDEX(Tareas!$E$6:$E$205,MATCH(A$5&amp;"_"&amp;15,Tareas!$N$6:$N$205,0),1)&amp;CHAR(10)&amp;INDEX(Tareas!$O$6:$O$205,MATCH(A$5&amp;"_"&amp;15,Tareas!$N$6:$N$205,0),1))</x:f>
      </x:c>
      <x:c r="B20" s="21" t="str">
        <x:f>IF(15&gt;B$4,"",INDEX(Tareas!$A$6:$A$205,MATCH(B$5&amp;"_"&amp;15,Tareas!$N$6:$N$205,0),1)&amp;" · "&amp;INDEX(Tareas!$D$6:$D$205,MATCH(B$5&amp;"_"&amp;15,Tareas!$N$6:$N$205,0),1)&amp;CHAR(10)&amp;INDEX(Tareas!$C$6:$C$205,MATCH(B$5&amp;"_"&amp;15,Tareas!$N$6:$N$205,0),1)&amp;CHAR(10)&amp;INDEX(Tareas!$E$6:$E$205,MATCH(B$5&amp;"_"&amp;15,Tareas!$N$6:$N$205,0),1)&amp;CHAR(10)&amp;INDEX(Tareas!$O$6:$O$205,MATCH(B$5&amp;"_"&amp;15,Tareas!$N$6:$N$205,0),1))</x:f>
      </x:c>
      <x:c r="C20" s="21" t="str">
        <x:f>IF(15&gt;C$4,"",INDEX(Tareas!$A$6:$A$205,MATCH(C$5&amp;"_"&amp;15,Tareas!$N$6:$N$205,0),1)&amp;" · "&amp;INDEX(Tareas!$D$6:$D$205,MATCH(C$5&amp;"_"&amp;15,Tareas!$N$6:$N$205,0),1)&amp;CHAR(10)&amp;INDEX(Tareas!$C$6:$C$205,MATCH(C$5&amp;"_"&amp;15,Tareas!$N$6:$N$205,0),1)&amp;CHAR(10)&amp;INDEX(Tareas!$E$6:$E$205,MATCH(C$5&amp;"_"&amp;15,Tareas!$N$6:$N$205,0),1)&amp;CHAR(10)&amp;INDEX(Tareas!$O$6:$O$205,MATCH(C$5&amp;"_"&amp;15,Tareas!$N$6:$N$205,0),1))</x:f>
      </x:c>
      <x:c r="D20" s="21" t="str">
        <x:f>IF(15&gt;D$4,"",INDEX(Tareas!$A$6:$A$205,MATCH(D$5&amp;"_"&amp;15,Tareas!$N$6:$N$205,0),1)&amp;" · "&amp;INDEX(Tareas!$D$6:$D$205,MATCH(D$5&amp;"_"&amp;15,Tareas!$N$6:$N$205,0),1)&amp;CHAR(10)&amp;INDEX(Tareas!$C$6:$C$205,MATCH(D$5&amp;"_"&amp;15,Tareas!$N$6:$N$205,0),1)&amp;CHAR(10)&amp;INDEX(Tareas!$E$6:$E$205,MATCH(D$5&amp;"_"&amp;15,Tareas!$N$6:$N$205,0),1)&amp;CHAR(10)&amp;INDEX(Tareas!$O$6:$O$205,MATCH(D$5&amp;"_"&amp;15,Tareas!$N$6:$N$205,0),1))</x:f>
      </x:c>
      <x:c r="E20" s="21" t="str">
        <x:f>IF(15&gt;E$4,"",INDEX(Tareas!$A$6:$A$205,MATCH(E$5&amp;"_"&amp;15,Tareas!$N$6:$N$205,0),1)&amp;" · "&amp;INDEX(Tareas!$D$6:$D$205,MATCH(E$5&amp;"_"&amp;15,Tareas!$N$6:$N$205,0),1)&amp;CHAR(10)&amp;INDEX(Tareas!$C$6:$C$205,MATCH(E$5&amp;"_"&amp;15,Tareas!$N$6:$N$205,0),1)&amp;CHAR(10)&amp;INDEX(Tareas!$E$6:$E$205,MATCH(E$5&amp;"_"&amp;15,Tareas!$N$6:$N$205,0),1)&amp;CHAR(10)&amp;INDEX(Tareas!$O$6:$O$205,MATCH(E$5&amp;"_"&amp;15,Tareas!$N$6:$N$205,0),1))</x:f>
      </x:c>
      <x:c r="F20" s="21" t="str">
        <x:f>IF(15&gt;F$4,"",INDEX(Tareas!$A$6:$A$205,MATCH(F$5&amp;"_"&amp;15,Tareas!$N$6:$N$205,0),1)&amp;" · "&amp;INDEX(Tareas!$D$6:$D$205,MATCH(F$5&amp;"_"&amp;15,Tareas!$N$6:$N$205,0),1)&amp;CHAR(10)&amp;INDEX(Tareas!$C$6:$C$205,MATCH(F$5&amp;"_"&amp;15,Tareas!$N$6:$N$205,0),1)&amp;CHAR(10)&amp;INDEX(Tareas!$E$6:$E$205,MATCH(F$5&amp;"_"&amp;15,Tareas!$N$6:$N$205,0),1)&amp;CHAR(10)&amp;INDEX(Tareas!$O$6:$O$205,MATCH(F$5&amp;"_"&amp;15,Tareas!$N$6:$N$205,0),1))</x:f>
      </x:c>
    </x:row>
    <x:row r="21" ht="76" customHeight="1">
      <x:c r="A21" s="21" t="str">
        <x:f>IF(16&gt;A$4,"",INDEX(Tareas!$A$6:$A$205,MATCH(A$5&amp;"_"&amp;16,Tareas!$N$6:$N$205,0),1)&amp;" · "&amp;INDEX(Tareas!$D$6:$D$205,MATCH(A$5&amp;"_"&amp;16,Tareas!$N$6:$N$205,0),1)&amp;CHAR(10)&amp;INDEX(Tareas!$C$6:$C$205,MATCH(A$5&amp;"_"&amp;16,Tareas!$N$6:$N$205,0),1)&amp;CHAR(10)&amp;INDEX(Tareas!$E$6:$E$205,MATCH(A$5&amp;"_"&amp;16,Tareas!$N$6:$N$205,0),1)&amp;CHAR(10)&amp;INDEX(Tareas!$O$6:$O$205,MATCH(A$5&amp;"_"&amp;16,Tareas!$N$6:$N$205,0),1))</x:f>
      </x:c>
      <x:c r="B21" s="21" t="str">
        <x:f>IF(16&gt;B$4,"",INDEX(Tareas!$A$6:$A$205,MATCH(B$5&amp;"_"&amp;16,Tareas!$N$6:$N$205,0),1)&amp;" · "&amp;INDEX(Tareas!$D$6:$D$205,MATCH(B$5&amp;"_"&amp;16,Tareas!$N$6:$N$205,0),1)&amp;CHAR(10)&amp;INDEX(Tareas!$C$6:$C$205,MATCH(B$5&amp;"_"&amp;16,Tareas!$N$6:$N$205,0),1)&amp;CHAR(10)&amp;INDEX(Tareas!$E$6:$E$205,MATCH(B$5&amp;"_"&amp;16,Tareas!$N$6:$N$205,0),1)&amp;CHAR(10)&amp;INDEX(Tareas!$O$6:$O$205,MATCH(B$5&amp;"_"&amp;16,Tareas!$N$6:$N$205,0),1))</x:f>
      </x:c>
      <x:c r="C21" s="21" t="str">
        <x:f>IF(16&gt;C$4,"",INDEX(Tareas!$A$6:$A$205,MATCH(C$5&amp;"_"&amp;16,Tareas!$N$6:$N$205,0),1)&amp;" · "&amp;INDEX(Tareas!$D$6:$D$205,MATCH(C$5&amp;"_"&amp;16,Tareas!$N$6:$N$205,0),1)&amp;CHAR(10)&amp;INDEX(Tareas!$C$6:$C$205,MATCH(C$5&amp;"_"&amp;16,Tareas!$N$6:$N$205,0),1)&amp;CHAR(10)&amp;INDEX(Tareas!$E$6:$E$205,MATCH(C$5&amp;"_"&amp;16,Tareas!$N$6:$N$205,0),1)&amp;CHAR(10)&amp;INDEX(Tareas!$O$6:$O$205,MATCH(C$5&amp;"_"&amp;16,Tareas!$N$6:$N$205,0),1))</x:f>
      </x:c>
      <x:c r="D21" s="21" t="str">
        <x:f>IF(16&gt;D$4,"",INDEX(Tareas!$A$6:$A$205,MATCH(D$5&amp;"_"&amp;16,Tareas!$N$6:$N$205,0),1)&amp;" · "&amp;INDEX(Tareas!$D$6:$D$205,MATCH(D$5&amp;"_"&amp;16,Tareas!$N$6:$N$205,0),1)&amp;CHAR(10)&amp;INDEX(Tareas!$C$6:$C$205,MATCH(D$5&amp;"_"&amp;16,Tareas!$N$6:$N$205,0),1)&amp;CHAR(10)&amp;INDEX(Tareas!$E$6:$E$205,MATCH(D$5&amp;"_"&amp;16,Tareas!$N$6:$N$205,0),1)&amp;CHAR(10)&amp;INDEX(Tareas!$O$6:$O$205,MATCH(D$5&amp;"_"&amp;16,Tareas!$N$6:$N$205,0),1))</x:f>
      </x:c>
      <x:c r="E21" s="21" t="str">
        <x:f>IF(16&gt;E$4,"",INDEX(Tareas!$A$6:$A$205,MATCH(E$5&amp;"_"&amp;16,Tareas!$N$6:$N$205,0),1)&amp;" · "&amp;INDEX(Tareas!$D$6:$D$205,MATCH(E$5&amp;"_"&amp;16,Tareas!$N$6:$N$205,0),1)&amp;CHAR(10)&amp;INDEX(Tareas!$C$6:$C$205,MATCH(E$5&amp;"_"&amp;16,Tareas!$N$6:$N$205,0),1)&amp;CHAR(10)&amp;INDEX(Tareas!$E$6:$E$205,MATCH(E$5&amp;"_"&amp;16,Tareas!$N$6:$N$205,0),1)&amp;CHAR(10)&amp;INDEX(Tareas!$O$6:$O$205,MATCH(E$5&amp;"_"&amp;16,Tareas!$N$6:$N$205,0),1))</x:f>
      </x:c>
      <x:c r="F21" s="21" t="str">
        <x:f>IF(16&gt;F$4,"",INDEX(Tareas!$A$6:$A$205,MATCH(F$5&amp;"_"&amp;16,Tareas!$N$6:$N$205,0),1)&amp;" · "&amp;INDEX(Tareas!$D$6:$D$205,MATCH(F$5&amp;"_"&amp;16,Tareas!$N$6:$N$205,0),1)&amp;CHAR(10)&amp;INDEX(Tareas!$C$6:$C$205,MATCH(F$5&amp;"_"&amp;16,Tareas!$N$6:$N$205,0),1)&amp;CHAR(10)&amp;INDEX(Tareas!$E$6:$E$205,MATCH(F$5&amp;"_"&amp;16,Tareas!$N$6:$N$205,0),1)&amp;CHAR(10)&amp;INDEX(Tareas!$O$6:$O$205,MATCH(F$5&amp;"_"&amp;16,Tareas!$N$6:$N$205,0),1))</x:f>
      </x:c>
    </x:row>
    <x:row r="22" ht="76" customHeight="1">
      <x:c r="A22" s="21" t="str">
        <x:f>IF(17&gt;A$4,"",INDEX(Tareas!$A$6:$A$205,MATCH(A$5&amp;"_"&amp;17,Tareas!$N$6:$N$205,0),1)&amp;" · "&amp;INDEX(Tareas!$D$6:$D$205,MATCH(A$5&amp;"_"&amp;17,Tareas!$N$6:$N$205,0),1)&amp;CHAR(10)&amp;INDEX(Tareas!$C$6:$C$205,MATCH(A$5&amp;"_"&amp;17,Tareas!$N$6:$N$205,0),1)&amp;CHAR(10)&amp;INDEX(Tareas!$E$6:$E$205,MATCH(A$5&amp;"_"&amp;17,Tareas!$N$6:$N$205,0),1)&amp;CHAR(10)&amp;INDEX(Tareas!$O$6:$O$205,MATCH(A$5&amp;"_"&amp;17,Tareas!$N$6:$N$205,0),1))</x:f>
      </x:c>
      <x:c r="B22" s="21" t="str">
        <x:f>IF(17&gt;B$4,"",INDEX(Tareas!$A$6:$A$205,MATCH(B$5&amp;"_"&amp;17,Tareas!$N$6:$N$205,0),1)&amp;" · "&amp;INDEX(Tareas!$D$6:$D$205,MATCH(B$5&amp;"_"&amp;17,Tareas!$N$6:$N$205,0),1)&amp;CHAR(10)&amp;INDEX(Tareas!$C$6:$C$205,MATCH(B$5&amp;"_"&amp;17,Tareas!$N$6:$N$205,0),1)&amp;CHAR(10)&amp;INDEX(Tareas!$E$6:$E$205,MATCH(B$5&amp;"_"&amp;17,Tareas!$N$6:$N$205,0),1)&amp;CHAR(10)&amp;INDEX(Tareas!$O$6:$O$205,MATCH(B$5&amp;"_"&amp;17,Tareas!$N$6:$N$205,0),1))</x:f>
      </x:c>
      <x:c r="C22" s="21" t="str">
        <x:f>IF(17&gt;C$4,"",INDEX(Tareas!$A$6:$A$205,MATCH(C$5&amp;"_"&amp;17,Tareas!$N$6:$N$205,0),1)&amp;" · "&amp;INDEX(Tareas!$D$6:$D$205,MATCH(C$5&amp;"_"&amp;17,Tareas!$N$6:$N$205,0),1)&amp;CHAR(10)&amp;INDEX(Tareas!$C$6:$C$205,MATCH(C$5&amp;"_"&amp;17,Tareas!$N$6:$N$205,0),1)&amp;CHAR(10)&amp;INDEX(Tareas!$E$6:$E$205,MATCH(C$5&amp;"_"&amp;17,Tareas!$N$6:$N$205,0),1)&amp;CHAR(10)&amp;INDEX(Tareas!$O$6:$O$205,MATCH(C$5&amp;"_"&amp;17,Tareas!$N$6:$N$205,0),1))</x:f>
      </x:c>
      <x:c r="D22" s="21" t="str">
        <x:f>IF(17&gt;D$4,"",INDEX(Tareas!$A$6:$A$205,MATCH(D$5&amp;"_"&amp;17,Tareas!$N$6:$N$205,0),1)&amp;" · "&amp;INDEX(Tareas!$D$6:$D$205,MATCH(D$5&amp;"_"&amp;17,Tareas!$N$6:$N$205,0),1)&amp;CHAR(10)&amp;INDEX(Tareas!$C$6:$C$205,MATCH(D$5&amp;"_"&amp;17,Tareas!$N$6:$N$205,0),1)&amp;CHAR(10)&amp;INDEX(Tareas!$E$6:$E$205,MATCH(D$5&amp;"_"&amp;17,Tareas!$N$6:$N$205,0),1)&amp;CHAR(10)&amp;INDEX(Tareas!$O$6:$O$205,MATCH(D$5&amp;"_"&amp;17,Tareas!$N$6:$N$205,0),1))</x:f>
      </x:c>
      <x:c r="E22" s="21" t="str">
        <x:f>IF(17&gt;E$4,"",INDEX(Tareas!$A$6:$A$205,MATCH(E$5&amp;"_"&amp;17,Tareas!$N$6:$N$205,0),1)&amp;" · "&amp;INDEX(Tareas!$D$6:$D$205,MATCH(E$5&amp;"_"&amp;17,Tareas!$N$6:$N$205,0),1)&amp;CHAR(10)&amp;INDEX(Tareas!$C$6:$C$205,MATCH(E$5&amp;"_"&amp;17,Tareas!$N$6:$N$205,0),1)&amp;CHAR(10)&amp;INDEX(Tareas!$E$6:$E$205,MATCH(E$5&amp;"_"&amp;17,Tareas!$N$6:$N$205,0),1)&amp;CHAR(10)&amp;INDEX(Tareas!$O$6:$O$205,MATCH(E$5&amp;"_"&amp;17,Tareas!$N$6:$N$205,0),1))</x:f>
      </x:c>
      <x:c r="F22" s="21" t="str">
        <x:f>IF(17&gt;F$4,"",INDEX(Tareas!$A$6:$A$205,MATCH(F$5&amp;"_"&amp;17,Tareas!$N$6:$N$205,0),1)&amp;" · "&amp;INDEX(Tareas!$D$6:$D$205,MATCH(F$5&amp;"_"&amp;17,Tareas!$N$6:$N$205,0),1)&amp;CHAR(10)&amp;INDEX(Tareas!$C$6:$C$205,MATCH(F$5&amp;"_"&amp;17,Tareas!$N$6:$N$205,0),1)&amp;CHAR(10)&amp;INDEX(Tareas!$E$6:$E$205,MATCH(F$5&amp;"_"&amp;17,Tareas!$N$6:$N$205,0),1)&amp;CHAR(10)&amp;INDEX(Tareas!$O$6:$O$205,MATCH(F$5&amp;"_"&amp;17,Tareas!$N$6:$N$205,0),1))</x:f>
      </x:c>
    </x:row>
    <x:row r="23" ht="76" customHeight="1">
      <x:c r="A23" s="21" t="str">
        <x:f>IF(18&gt;A$4,"",INDEX(Tareas!$A$6:$A$205,MATCH(A$5&amp;"_"&amp;18,Tareas!$N$6:$N$205,0),1)&amp;" · "&amp;INDEX(Tareas!$D$6:$D$205,MATCH(A$5&amp;"_"&amp;18,Tareas!$N$6:$N$205,0),1)&amp;CHAR(10)&amp;INDEX(Tareas!$C$6:$C$205,MATCH(A$5&amp;"_"&amp;18,Tareas!$N$6:$N$205,0),1)&amp;CHAR(10)&amp;INDEX(Tareas!$E$6:$E$205,MATCH(A$5&amp;"_"&amp;18,Tareas!$N$6:$N$205,0),1)&amp;CHAR(10)&amp;INDEX(Tareas!$O$6:$O$205,MATCH(A$5&amp;"_"&amp;18,Tareas!$N$6:$N$205,0),1))</x:f>
      </x:c>
      <x:c r="B23" s="21" t="str">
        <x:f>IF(18&gt;B$4,"",INDEX(Tareas!$A$6:$A$205,MATCH(B$5&amp;"_"&amp;18,Tareas!$N$6:$N$205,0),1)&amp;" · "&amp;INDEX(Tareas!$D$6:$D$205,MATCH(B$5&amp;"_"&amp;18,Tareas!$N$6:$N$205,0),1)&amp;CHAR(10)&amp;INDEX(Tareas!$C$6:$C$205,MATCH(B$5&amp;"_"&amp;18,Tareas!$N$6:$N$205,0),1)&amp;CHAR(10)&amp;INDEX(Tareas!$E$6:$E$205,MATCH(B$5&amp;"_"&amp;18,Tareas!$N$6:$N$205,0),1)&amp;CHAR(10)&amp;INDEX(Tareas!$O$6:$O$205,MATCH(B$5&amp;"_"&amp;18,Tareas!$N$6:$N$205,0),1))</x:f>
      </x:c>
      <x:c r="C23" s="21" t="str">
        <x:f>IF(18&gt;C$4,"",INDEX(Tareas!$A$6:$A$205,MATCH(C$5&amp;"_"&amp;18,Tareas!$N$6:$N$205,0),1)&amp;" · "&amp;INDEX(Tareas!$D$6:$D$205,MATCH(C$5&amp;"_"&amp;18,Tareas!$N$6:$N$205,0),1)&amp;CHAR(10)&amp;INDEX(Tareas!$C$6:$C$205,MATCH(C$5&amp;"_"&amp;18,Tareas!$N$6:$N$205,0),1)&amp;CHAR(10)&amp;INDEX(Tareas!$E$6:$E$205,MATCH(C$5&amp;"_"&amp;18,Tareas!$N$6:$N$205,0),1)&amp;CHAR(10)&amp;INDEX(Tareas!$O$6:$O$205,MATCH(C$5&amp;"_"&amp;18,Tareas!$N$6:$N$205,0),1))</x:f>
      </x:c>
      <x:c r="D23" s="21" t="str">
        <x:f>IF(18&gt;D$4,"",INDEX(Tareas!$A$6:$A$205,MATCH(D$5&amp;"_"&amp;18,Tareas!$N$6:$N$205,0),1)&amp;" · "&amp;INDEX(Tareas!$D$6:$D$205,MATCH(D$5&amp;"_"&amp;18,Tareas!$N$6:$N$205,0),1)&amp;CHAR(10)&amp;INDEX(Tareas!$C$6:$C$205,MATCH(D$5&amp;"_"&amp;18,Tareas!$N$6:$N$205,0),1)&amp;CHAR(10)&amp;INDEX(Tareas!$E$6:$E$205,MATCH(D$5&amp;"_"&amp;18,Tareas!$N$6:$N$205,0),1)&amp;CHAR(10)&amp;INDEX(Tareas!$O$6:$O$205,MATCH(D$5&amp;"_"&amp;18,Tareas!$N$6:$N$205,0),1))</x:f>
      </x:c>
      <x:c r="E23" s="21" t="str">
        <x:f>IF(18&gt;E$4,"",INDEX(Tareas!$A$6:$A$205,MATCH(E$5&amp;"_"&amp;18,Tareas!$N$6:$N$205,0),1)&amp;" · "&amp;INDEX(Tareas!$D$6:$D$205,MATCH(E$5&amp;"_"&amp;18,Tareas!$N$6:$N$205,0),1)&amp;CHAR(10)&amp;INDEX(Tareas!$C$6:$C$205,MATCH(E$5&amp;"_"&amp;18,Tareas!$N$6:$N$205,0),1)&amp;CHAR(10)&amp;INDEX(Tareas!$E$6:$E$205,MATCH(E$5&amp;"_"&amp;18,Tareas!$N$6:$N$205,0),1)&amp;CHAR(10)&amp;INDEX(Tareas!$O$6:$O$205,MATCH(E$5&amp;"_"&amp;18,Tareas!$N$6:$N$205,0),1))</x:f>
      </x:c>
      <x:c r="F23" s="21" t="str">
        <x:f>IF(18&gt;F$4,"",INDEX(Tareas!$A$6:$A$205,MATCH(F$5&amp;"_"&amp;18,Tareas!$N$6:$N$205,0),1)&amp;" · "&amp;INDEX(Tareas!$D$6:$D$205,MATCH(F$5&amp;"_"&amp;18,Tareas!$N$6:$N$205,0),1)&amp;CHAR(10)&amp;INDEX(Tareas!$C$6:$C$205,MATCH(F$5&amp;"_"&amp;18,Tareas!$N$6:$N$205,0),1)&amp;CHAR(10)&amp;INDEX(Tareas!$E$6:$E$205,MATCH(F$5&amp;"_"&amp;18,Tareas!$N$6:$N$205,0),1)&amp;CHAR(10)&amp;INDEX(Tareas!$O$6:$O$205,MATCH(F$5&amp;"_"&amp;18,Tareas!$N$6:$N$205,0),1))</x:f>
      </x:c>
    </x:row>
    <x:row r="24" ht="76" customHeight="1">
      <x:c r="A24" s="21" t="str">
        <x:f>IF(19&gt;A$4,"",INDEX(Tareas!$A$6:$A$205,MATCH(A$5&amp;"_"&amp;19,Tareas!$N$6:$N$205,0),1)&amp;" · "&amp;INDEX(Tareas!$D$6:$D$205,MATCH(A$5&amp;"_"&amp;19,Tareas!$N$6:$N$205,0),1)&amp;CHAR(10)&amp;INDEX(Tareas!$C$6:$C$205,MATCH(A$5&amp;"_"&amp;19,Tareas!$N$6:$N$205,0),1)&amp;CHAR(10)&amp;INDEX(Tareas!$E$6:$E$205,MATCH(A$5&amp;"_"&amp;19,Tareas!$N$6:$N$205,0),1)&amp;CHAR(10)&amp;INDEX(Tareas!$O$6:$O$205,MATCH(A$5&amp;"_"&amp;19,Tareas!$N$6:$N$205,0),1))</x:f>
      </x:c>
      <x:c r="B24" s="21" t="str">
        <x:f>IF(19&gt;B$4,"",INDEX(Tareas!$A$6:$A$205,MATCH(B$5&amp;"_"&amp;19,Tareas!$N$6:$N$205,0),1)&amp;" · "&amp;INDEX(Tareas!$D$6:$D$205,MATCH(B$5&amp;"_"&amp;19,Tareas!$N$6:$N$205,0),1)&amp;CHAR(10)&amp;INDEX(Tareas!$C$6:$C$205,MATCH(B$5&amp;"_"&amp;19,Tareas!$N$6:$N$205,0),1)&amp;CHAR(10)&amp;INDEX(Tareas!$E$6:$E$205,MATCH(B$5&amp;"_"&amp;19,Tareas!$N$6:$N$205,0),1)&amp;CHAR(10)&amp;INDEX(Tareas!$O$6:$O$205,MATCH(B$5&amp;"_"&amp;19,Tareas!$N$6:$N$205,0),1))</x:f>
      </x:c>
      <x:c r="C24" s="21" t="str">
        <x:f>IF(19&gt;C$4,"",INDEX(Tareas!$A$6:$A$205,MATCH(C$5&amp;"_"&amp;19,Tareas!$N$6:$N$205,0),1)&amp;" · "&amp;INDEX(Tareas!$D$6:$D$205,MATCH(C$5&amp;"_"&amp;19,Tareas!$N$6:$N$205,0),1)&amp;CHAR(10)&amp;INDEX(Tareas!$C$6:$C$205,MATCH(C$5&amp;"_"&amp;19,Tareas!$N$6:$N$205,0),1)&amp;CHAR(10)&amp;INDEX(Tareas!$E$6:$E$205,MATCH(C$5&amp;"_"&amp;19,Tareas!$N$6:$N$205,0),1)&amp;CHAR(10)&amp;INDEX(Tareas!$O$6:$O$205,MATCH(C$5&amp;"_"&amp;19,Tareas!$N$6:$N$205,0),1))</x:f>
      </x:c>
      <x:c r="D24" s="21" t="str">
        <x:f>IF(19&gt;D$4,"",INDEX(Tareas!$A$6:$A$205,MATCH(D$5&amp;"_"&amp;19,Tareas!$N$6:$N$205,0),1)&amp;" · "&amp;INDEX(Tareas!$D$6:$D$205,MATCH(D$5&amp;"_"&amp;19,Tareas!$N$6:$N$205,0),1)&amp;CHAR(10)&amp;INDEX(Tareas!$C$6:$C$205,MATCH(D$5&amp;"_"&amp;19,Tareas!$N$6:$N$205,0),1)&amp;CHAR(10)&amp;INDEX(Tareas!$E$6:$E$205,MATCH(D$5&amp;"_"&amp;19,Tareas!$N$6:$N$205,0),1)&amp;CHAR(10)&amp;INDEX(Tareas!$O$6:$O$205,MATCH(D$5&amp;"_"&amp;19,Tareas!$N$6:$N$205,0),1))</x:f>
      </x:c>
      <x:c r="E24" s="21" t="str">
        <x:f>IF(19&gt;E$4,"",INDEX(Tareas!$A$6:$A$205,MATCH(E$5&amp;"_"&amp;19,Tareas!$N$6:$N$205,0),1)&amp;" · "&amp;INDEX(Tareas!$D$6:$D$205,MATCH(E$5&amp;"_"&amp;19,Tareas!$N$6:$N$205,0),1)&amp;CHAR(10)&amp;INDEX(Tareas!$C$6:$C$205,MATCH(E$5&amp;"_"&amp;19,Tareas!$N$6:$N$205,0),1)&amp;CHAR(10)&amp;INDEX(Tareas!$E$6:$E$205,MATCH(E$5&amp;"_"&amp;19,Tareas!$N$6:$N$205,0),1)&amp;CHAR(10)&amp;INDEX(Tareas!$O$6:$O$205,MATCH(E$5&amp;"_"&amp;19,Tareas!$N$6:$N$205,0),1))</x:f>
      </x:c>
      <x:c r="F24" s="21" t="str">
        <x:f>IF(19&gt;F$4,"",INDEX(Tareas!$A$6:$A$205,MATCH(F$5&amp;"_"&amp;19,Tareas!$N$6:$N$205,0),1)&amp;" · "&amp;INDEX(Tareas!$D$6:$D$205,MATCH(F$5&amp;"_"&amp;19,Tareas!$N$6:$N$205,0),1)&amp;CHAR(10)&amp;INDEX(Tareas!$C$6:$C$205,MATCH(F$5&amp;"_"&amp;19,Tareas!$N$6:$N$205,0),1)&amp;CHAR(10)&amp;INDEX(Tareas!$E$6:$E$205,MATCH(F$5&amp;"_"&amp;19,Tareas!$N$6:$N$205,0),1)&amp;CHAR(10)&amp;INDEX(Tareas!$O$6:$O$205,MATCH(F$5&amp;"_"&amp;19,Tareas!$N$6:$N$205,0),1))</x:f>
      </x:c>
    </x:row>
    <x:row r="25" ht="76" customHeight="1">
      <x:c r="A25" s="21" t="str">
        <x:f>IF(20&gt;A$4,"",INDEX(Tareas!$A$6:$A$205,MATCH(A$5&amp;"_"&amp;20,Tareas!$N$6:$N$205,0),1)&amp;" · "&amp;INDEX(Tareas!$D$6:$D$205,MATCH(A$5&amp;"_"&amp;20,Tareas!$N$6:$N$205,0),1)&amp;CHAR(10)&amp;INDEX(Tareas!$C$6:$C$205,MATCH(A$5&amp;"_"&amp;20,Tareas!$N$6:$N$205,0),1)&amp;CHAR(10)&amp;INDEX(Tareas!$E$6:$E$205,MATCH(A$5&amp;"_"&amp;20,Tareas!$N$6:$N$205,0),1)&amp;CHAR(10)&amp;INDEX(Tareas!$O$6:$O$205,MATCH(A$5&amp;"_"&amp;20,Tareas!$N$6:$N$205,0),1))</x:f>
      </x:c>
      <x:c r="B25" s="21" t="str">
        <x:f>IF(20&gt;B$4,"",INDEX(Tareas!$A$6:$A$205,MATCH(B$5&amp;"_"&amp;20,Tareas!$N$6:$N$205,0),1)&amp;" · "&amp;INDEX(Tareas!$D$6:$D$205,MATCH(B$5&amp;"_"&amp;20,Tareas!$N$6:$N$205,0),1)&amp;CHAR(10)&amp;INDEX(Tareas!$C$6:$C$205,MATCH(B$5&amp;"_"&amp;20,Tareas!$N$6:$N$205,0),1)&amp;CHAR(10)&amp;INDEX(Tareas!$E$6:$E$205,MATCH(B$5&amp;"_"&amp;20,Tareas!$N$6:$N$205,0),1)&amp;CHAR(10)&amp;INDEX(Tareas!$O$6:$O$205,MATCH(B$5&amp;"_"&amp;20,Tareas!$N$6:$N$205,0),1))</x:f>
      </x:c>
      <x:c r="C25" s="21" t="str">
        <x:f>IF(20&gt;C$4,"",INDEX(Tareas!$A$6:$A$205,MATCH(C$5&amp;"_"&amp;20,Tareas!$N$6:$N$205,0),1)&amp;" · "&amp;INDEX(Tareas!$D$6:$D$205,MATCH(C$5&amp;"_"&amp;20,Tareas!$N$6:$N$205,0),1)&amp;CHAR(10)&amp;INDEX(Tareas!$C$6:$C$205,MATCH(C$5&amp;"_"&amp;20,Tareas!$N$6:$N$205,0),1)&amp;CHAR(10)&amp;INDEX(Tareas!$E$6:$E$205,MATCH(C$5&amp;"_"&amp;20,Tareas!$N$6:$N$205,0),1)&amp;CHAR(10)&amp;INDEX(Tareas!$O$6:$O$205,MATCH(C$5&amp;"_"&amp;20,Tareas!$N$6:$N$205,0),1))</x:f>
      </x:c>
      <x:c r="D25" s="21" t="str">
        <x:f>IF(20&gt;D$4,"",INDEX(Tareas!$A$6:$A$205,MATCH(D$5&amp;"_"&amp;20,Tareas!$N$6:$N$205,0),1)&amp;" · "&amp;INDEX(Tareas!$D$6:$D$205,MATCH(D$5&amp;"_"&amp;20,Tareas!$N$6:$N$205,0),1)&amp;CHAR(10)&amp;INDEX(Tareas!$C$6:$C$205,MATCH(D$5&amp;"_"&amp;20,Tareas!$N$6:$N$205,0),1)&amp;CHAR(10)&amp;INDEX(Tareas!$E$6:$E$205,MATCH(D$5&amp;"_"&amp;20,Tareas!$N$6:$N$205,0),1)&amp;CHAR(10)&amp;INDEX(Tareas!$O$6:$O$205,MATCH(D$5&amp;"_"&amp;20,Tareas!$N$6:$N$205,0),1))</x:f>
      </x:c>
      <x:c r="E25" s="21" t="str">
        <x:f>IF(20&gt;E$4,"",INDEX(Tareas!$A$6:$A$205,MATCH(E$5&amp;"_"&amp;20,Tareas!$N$6:$N$205,0),1)&amp;" · "&amp;INDEX(Tareas!$D$6:$D$205,MATCH(E$5&amp;"_"&amp;20,Tareas!$N$6:$N$205,0),1)&amp;CHAR(10)&amp;INDEX(Tareas!$C$6:$C$205,MATCH(E$5&amp;"_"&amp;20,Tareas!$N$6:$N$205,0),1)&amp;CHAR(10)&amp;INDEX(Tareas!$E$6:$E$205,MATCH(E$5&amp;"_"&amp;20,Tareas!$N$6:$N$205,0),1)&amp;CHAR(10)&amp;INDEX(Tareas!$O$6:$O$205,MATCH(E$5&amp;"_"&amp;20,Tareas!$N$6:$N$205,0),1))</x:f>
      </x:c>
      <x:c r="F25" s="21" t="str">
        <x:f>IF(20&gt;F$4,"",INDEX(Tareas!$A$6:$A$205,MATCH(F$5&amp;"_"&amp;20,Tareas!$N$6:$N$205,0),1)&amp;" · "&amp;INDEX(Tareas!$D$6:$D$205,MATCH(F$5&amp;"_"&amp;20,Tareas!$N$6:$N$205,0),1)&amp;CHAR(10)&amp;INDEX(Tareas!$C$6:$C$205,MATCH(F$5&amp;"_"&amp;20,Tareas!$N$6:$N$205,0),1)&amp;CHAR(10)&amp;INDEX(Tareas!$E$6:$E$205,MATCH(F$5&amp;"_"&amp;20,Tareas!$N$6:$N$205,0),1)&amp;CHAR(10)&amp;INDEX(Tareas!$O$6:$O$205,MATCH(F$5&amp;"_"&amp;20,Tareas!$N$6:$N$205,0),1))</x:f>
      </x:c>
    </x:row>
    <x:row r="26" ht="76" customHeight="1">
      <x:c r="A26" s="21" t="str">
        <x:f>IF(21&gt;A$4,"",INDEX(Tareas!$A$6:$A$205,MATCH(A$5&amp;"_"&amp;21,Tareas!$N$6:$N$205,0),1)&amp;" · "&amp;INDEX(Tareas!$D$6:$D$205,MATCH(A$5&amp;"_"&amp;21,Tareas!$N$6:$N$205,0),1)&amp;CHAR(10)&amp;INDEX(Tareas!$C$6:$C$205,MATCH(A$5&amp;"_"&amp;21,Tareas!$N$6:$N$205,0),1)&amp;CHAR(10)&amp;INDEX(Tareas!$E$6:$E$205,MATCH(A$5&amp;"_"&amp;21,Tareas!$N$6:$N$205,0),1)&amp;CHAR(10)&amp;INDEX(Tareas!$O$6:$O$205,MATCH(A$5&amp;"_"&amp;21,Tareas!$N$6:$N$205,0),1))</x:f>
      </x:c>
      <x:c r="B26" s="21" t="str">
        <x:f>IF(21&gt;B$4,"",INDEX(Tareas!$A$6:$A$205,MATCH(B$5&amp;"_"&amp;21,Tareas!$N$6:$N$205,0),1)&amp;" · "&amp;INDEX(Tareas!$D$6:$D$205,MATCH(B$5&amp;"_"&amp;21,Tareas!$N$6:$N$205,0),1)&amp;CHAR(10)&amp;INDEX(Tareas!$C$6:$C$205,MATCH(B$5&amp;"_"&amp;21,Tareas!$N$6:$N$205,0),1)&amp;CHAR(10)&amp;INDEX(Tareas!$E$6:$E$205,MATCH(B$5&amp;"_"&amp;21,Tareas!$N$6:$N$205,0),1)&amp;CHAR(10)&amp;INDEX(Tareas!$O$6:$O$205,MATCH(B$5&amp;"_"&amp;21,Tareas!$N$6:$N$205,0),1))</x:f>
      </x:c>
      <x:c r="C26" s="21" t="str">
        <x:f>IF(21&gt;C$4,"",INDEX(Tareas!$A$6:$A$205,MATCH(C$5&amp;"_"&amp;21,Tareas!$N$6:$N$205,0),1)&amp;" · "&amp;INDEX(Tareas!$D$6:$D$205,MATCH(C$5&amp;"_"&amp;21,Tareas!$N$6:$N$205,0),1)&amp;CHAR(10)&amp;INDEX(Tareas!$C$6:$C$205,MATCH(C$5&amp;"_"&amp;21,Tareas!$N$6:$N$205,0),1)&amp;CHAR(10)&amp;INDEX(Tareas!$E$6:$E$205,MATCH(C$5&amp;"_"&amp;21,Tareas!$N$6:$N$205,0),1)&amp;CHAR(10)&amp;INDEX(Tareas!$O$6:$O$205,MATCH(C$5&amp;"_"&amp;21,Tareas!$N$6:$N$205,0),1))</x:f>
      </x:c>
      <x:c r="D26" s="21" t="str">
        <x:f>IF(21&gt;D$4,"",INDEX(Tareas!$A$6:$A$205,MATCH(D$5&amp;"_"&amp;21,Tareas!$N$6:$N$205,0),1)&amp;" · "&amp;INDEX(Tareas!$D$6:$D$205,MATCH(D$5&amp;"_"&amp;21,Tareas!$N$6:$N$205,0),1)&amp;CHAR(10)&amp;INDEX(Tareas!$C$6:$C$205,MATCH(D$5&amp;"_"&amp;21,Tareas!$N$6:$N$205,0),1)&amp;CHAR(10)&amp;INDEX(Tareas!$E$6:$E$205,MATCH(D$5&amp;"_"&amp;21,Tareas!$N$6:$N$205,0),1)&amp;CHAR(10)&amp;INDEX(Tareas!$O$6:$O$205,MATCH(D$5&amp;"_"&amp;21,Tareas!$N$6:$N$205,0),1))</x:f>
      </x:c>
      <x:c r="E26" s="21" t="str">
        <x:f>IF(21&gt;E$4,"",INDEX(Tareas!$A$6:$A$205,MATCH(E$5&amp;"_"&amp;21,Tareas!$N$6:$N$205,0),1)&amp;" · "&amp;INDEX(Tareas!$D$6:$D$205,MATCH(E$5&amp;"_"&amp;21,Tareas!$N$6:$N$205,0),1)&amp;CHAR(10)&amp;INDEX(Tareas!$C$6:$C$205,MATCH(E$5&amp;"_"&amp;21,Tareas!$N$6:$N$205,0),1)&amp;CHAR(10)&amp;INDEX(Tareas!$E$6:$E$205,MATCH(E$5&amp;"_"&amp;21,Tareas!$N$6:$N$205,0),1)&amp;CHAR(10)&amp;INDEX(Tareas!$O$6:$O$205,MATCH(E$5&amp;"_"&amp;21,Tareas!$N$6:$N$205,0),1))</x:f>
      </x:c>
      <x:c r="F26" s="21" t="str">
        <x:f>IF(21&gt;F$4,"",INDEX(Tareas!$A$6:$A$205,MATCH(F$5&amp;"_"&amp;21,Tareas!$N$6:$N$205,0),1)&amp;" · "&amp;INDEX(Tareas!$D$6:$D$205,MATCH(F$5&amp;"_"&amp;21,Tareas!$N$6:$N$205,0),1)&amp;CHAR(10)&amp;INDEX(Tareas!$C$6:$C$205,MATCH(F$5&amp;"_"&amp;21,Tareas!$N$6:$N$205,0),1)&amp;CHAR(10)&amp;INDEX(Tareas!$E$6:$E$205,MATCH(F$5&amp;"_"&amp;21,Tareas!$N$6:$N$205,0),1)&amp;CHAR(10)&amp;INDEX(Tareas!$O$6:$O$205,MATCH(F$5&amp;"_"&amp;21,Tareas!$N$6:$N$205,0),1))</x:f>
      </x:c>
    </x:row>
    <x:row r="27" ht="76" customHeight="1">
      <x:c r="A27" s="21" t="str">
        <x:f>IF(22&gt;A$4,"",INDEX(Tareas!$A$6:$A$205,MATCH(A$5&amp;"_"&amp;22,Tareas!$N$6:$N$205,0),1)&amp;" · "&amp;INDEX(Tareas!$D$6:$D$205,MATCH(A$5&amp;"_"&amp;22,Tareas!$N$6:$N$205,0),1)&amp;CHAR(10)&amp;INDEX(Tareas!$C$6:$C$205,MATCH(A$5&amp;"_"&amp;22,Tareas!$N$6:$N$205,0),1)&amp;CHAR(10)&amp;INDEX(Tareas!$E$6:$E$205,MATCH(A$5&amp;"_"&amp;22,Tareas!$N$6:$N$205,0),1)&amp;CHAR(10)&amp;INDEX(Tareas!$O$6:$O$205,MATCH(A$5&amp;"_"&amp;22,Tareas!$N$6:$N$205,0),1))</x:f>
      </x:c>
      <x:c r="B27" s="21" t="str">
        <x:f>IF(22&gt;B$4,"",INDEX(Tareas!$A$6:$A$205,MATCH(B$5&amp;"_"&amp;22,Tareas!$N$6:$N$205,0),1)&amp;" · "&amp;INDEX(Tareas!$D$6:$D$205,MATCH(B$5&amp;"_"&amp;22,Tareas!$N$6:$N$205,0),1)&amp;CHAR(10)&amp;INDEX(Tareas!$C$6:$C$205,MATCH(B$5&amp;"_"&amp;22,Tareas!$N$6:$N$205,0),1)&amp;CHAR(10)&amp;INDEX(Tareas!$E$6:$E$205,MATCH(B$5&amp;"_"&amp;22,Tareas!$N$6:$N$205,0),1)&amp;CHAR(10)&amp;INDEX(Tareas!$O$6:$O$205,MATCH(B$5&amp;"_"&amp;22,Tareas!$N$6:$N$205,0),1))</x:f>
      </x:c>
      <x:c r="C27" s="21" t="str">
        <x:f>IF(22&gt;C$4,"",INDEX(Tareas!$A$6:$A$205,MATCH(C$5&amp;"_"&amp;22,Tareas!$N$6:$N$205,0),1)&amp;" · "&amp;INDEX(Tareas!$D$6:$D$205,MATCH(C$5&amp;"_"&amp;22,Tareas!$N$6:$N$205,0),1)&amp;CHAR(10)&amp;INDEX(Tareas!$C$6:$C$205,MATCH(C$5&amp;"_"&amp;22,Tareas!$N$6:$N$205,0),1)&amp;CHAR(10)&amp;INDEX(Tareas!$E$6:$E$205,MATCH(C$5&amp;"_"&amp;22,Tareas!$N$6:$N$205,0),1)&amp;CHAR(10)&amp;INDEX(Tareas!$O$6:$O$205,MATCH(C$5&amp;"_"&amp;22,Tareas!$N$6:$N$205,0),1))</x:f>
      </x:c>
      <x:c r="D27" s="21" t="str">
        <x:f>IF(22&gt;D$4,"",INDEX(Tareas!$A$6:$A$205,MATCH(D$5&amp;"_"&amp;22,Tareas!$N$6:$N$205,0),1)&amp;" · "&amp;INDEX(Tareas!$D$6:$D$205,MATCH(D$5&amp;"_"&amp;22,Tareas!$N$6:$N$205,0),1)&amp;CHAR(10)&amp;INDEX(Tareas!$C$6:$C$205,MATCH(D$5&amp;"_"&amp;22,Tareas!$N$6:$N$205,0),1)&amp;CHAR(10)&amp;INDEX(Tareas!$E$6:$E$205,MATCH(D$5&amp;"_"&amp;22,Tareas!$N$6:$N$205,0),1)&amp;CHAR(10)&amp;INDEX(Tareas!$O$6:$O$205,MATCH(D$5&amp;"_"&amp;22,Tareas!$N$6:$N$205,0),1))</x:f>
      </x:c>
      <x:c r="E27" s="21" t="str">
        <x:f>IF(22&gt;E$4,"",INDEX(Tareas!$A$6:$A$205,MATCH(E$5&amp;"_"&amp;22,Tareas!$N$6:$N$205,0),1)&amp;" · "&amp;INDEX(Tareas!$D$6:$D$205,MATCH(E$5&amp;"_"&amp;22,Tareas!$N$6:$N$205,0),1)&amp;CHAR(10)&amp;INDEX(Tareas!$C$6:$C$205,MATCH(E$5&amp;"_"&amp;22,Tareas!$N$6:$N$205,0),1)&amp;CHAR(10)&amp;INDEX(Tareas!$E$6:$E$205,MATCH(E$5&amp;"_"&amp;22,Tareas!$N$6:$N$205,0),1)&amp;CHAR(10)&amp;INDEX(Tareas!$O$6:$O$205,MATCH(E$5&amp;"_"&amp;22,Tareas!$N$6:$N$205,0),1))</x:f>
      </x:c>
      <x:c r="F27" s="21" t="str">
        <x:f>IF(22&gt;F$4,"",INDEX(Tareas!$A$6:$A$205,MATCH(F$5&amp;"_"&amp;22,Tareas!$N$6:$N$205,0),1)&amp;" · "&amp;INDEX(Tareas!$D$6:$D$205,MATCH(F$5&amp;"_"&amp;22,Tareas!$N$6:$N$205,0),1)&amp;CHAR(10)&amp;INDEX(Tareas!$C$6:$C$205,MATCH(F$5&amp;"_"&amp;22,Tareas!$N$6:$N$205,0),1)&amp;CHAR(10)&amp;INDEX(Tareas!$E$6:$E$205,MATCH(F$5&amp;"_"&amp;22,Tareas!$N$6:$N$205,0),1)&amp;CHAR(10)&amp;INDEX(Tareas!$O$6:$O$205,MATCH(F$5&amp;"_"&amp;22,Tareas!$N$6:$N$205,0),1))</x:f>
      </x:c>
    </x:row>
    <x:row r="28" ht="76" customHeight="1">
      <x:c r="A28" s="21" t="str">
        <x:f>IF(23&gt;A$4,"",INDEX(Tareas!$A$6:$A$205,MATCH(A$5&amp;"_"&amp;23,Tareas!$N$6:$N$205,0),1)&amp;" · "&amp;INDEX(Tareas!$D$6:$D$205,MATCH(A$5&amp;"_"&amp;23,Tareas!$N$6:$N$205,0),1)&amp;CHAR(10)&amp;INDEX(Tareas!$C$6:$C$205,MATCH(A$5&amp;"_"&amp;23,Tareas!$N$6:$N$205,0),1)&amp;CHAR(10)&amp;INDEX(Tareas!$E$6:$E$205,MATCH(A$5&amp;"_"&amp;23,Tareas!$N$6:$N$205,0),1)&amp;CHAR(10)&amp;INDEX(Tareas!$O$6:$O$205,MATCH(A$5&amp;"_"&amp;23,Tareas!$N$6:$N$205,0),1))</x:f>
      </x:c>
      <x:c r="B28" s="21" t="str">
        <x:f>IF(23&gt;B$4,"",INDEX(Tareas!$A$6:$A$205,MATCH(B$5&amp;"_"&amp;23,Tareas!$N$6:$N$205,0),1)&amp;" · "&amp;INDEX(Tareas!$D$6:$D$205,MATCH(B$5&amp;"_"&amp;23,Tareas!$N$6:$N$205,0),1)&amp;CHAR(10)&amp;INDEX(Tareas!$C$6:$C$205,MATCH(B$5&amp;"_"&amp;23,Tareas!$N$6:$N$205,0),1)&amp;CHAR(10)&amp;INDEX(Tareas!$E$6:$E$205,MATCH(B$5&amp;"_"&amp;23,Tareas!$N$6:$N$205,0),1)&amp;CHAR(10)&amp;INDEX(Tareas!$O$6:$O$205,MATCH(B$5&amp;"_"&amp;23,Tareas!$N$6:$N$205,0),1))</x:f>
      </x:c>
      <x:c r="C28" s="21" t="str">
        <x:f>IF(23&gt;C$4,"",INDEX(Tareas!$A$6:$A$205,MATCH(C$5&amp;"_"&amp;23,Tareas!$N$6:$N$205,0),1)&amp;" · "&amp;INDEX(Tareas!$D$6:$D$205,MATCH(C$5&amp;"_"&amp;23,Tareas!$N$6:$N$205,0),1)&amp;CHAR(10)&amp;INDEX(Tareas!$C$6:$C$205,MATCH(C$5&amp;"_"&amp;23,Tareas!$N$6:$N$205,0),1)&amp;CHAR(10)&amp;INDEX(Tareas!$E$6:$E$205,MATCH(C$5&amp;"_"&amp;23,Tareas!$N$6:$N$205,0),1)&amp;CHAR(10)&amp;INDEX(Tareas!$O$6:$O$205,MATCH(C$5&amp;"_"&amp;23,Tareas!$N$6:$N$205,0),1))</x:f>
      </x:c>
      <x:c r="D28" s="21" t="str">
        <x:f>IF(23&gt;D$4,"",INDEX(Tareas!$A$6:$A$205,MATCH(D$5&amp;"_"&amp;23,Tareas!$N$6:$N$205,0),1)&amp;" · "&amp;INDEX(Tareas!$D$6:$D$205,MATCH(D$5&amp;"_"&amp;23,Tareas!$N$6:$N$205,0),1)&amp;CHAR(10)&amp;INDEX(Tareas!$C$6:$C$205,MATCH(D$5&amp;"_"&amp;23,Tareas!$N$6:$N$205,0),1)&amp;CHAR(10)&amp;INDEX(Tareas!$E$6:$E$205,MATCH(D$5&amp;"_"&amp;23,Tareas!$N$6:$N$205,0),1)&amp;CHAR(10)&amp;INDEX(Tareas!$O$6:$O$205,MATCH(D$5&amp;"_"&amp;23,Tareas!$N$6:$N$205,0),1))</x:f>
      </x:c>
      <x:c r="E28" s="21" t="str">
        <x:f>IF(23&gt;E$4,"",INDEX(Tareas!$A$6:$A$205,MATCH(E$5&amp;"_"&amp;23,Tareas!$N$6:$N$205,0),1)&amp;" · "&amp;INDEX(Tareas!$D$6:$D$205,MATCH(E$5&amp;"_"&amp;23,Tareas!$N$6:$N$205,0),1)&amp;CHAR(10)&amp;INDEX(Tareas!$C$6:$C$205,MATCH(E$5&amp;"_"&amp;23,Tareas!$N$6:$N$205,0),1)&amp;CHAR(10)&amp;INDEX(Tareas!$E$6:$E$205,MATCH(E$5&amp;"_"&amp;23,Tareas!$N$6:$N$205,0),1)&amp;CHAR(10)&amp;INDEX(Tareas!$O$6:$O$205,MATCH(E$5&amp;"_"&amp;23,Tareas!$N$6:$N$205,0),1))</x:f>
      </x:c>
      <x:c r="F28" s="21" t="str">
        <x:f>IF(23&gt;F$4,"",INDEX(Tareas!$A$6:$A$205,MATCH(F$5&amp;"_"&amp;23,Tareas!$N$6:$N$205,0),1)&amp;" · "&amp;INDEX(Tareas!$D$6:$D$205,MATCH(F$5&amp;"_"&amp;23,Tareas!$N$6:$N$205,0),1)&amp;CHAR(10)&amp;INDEX(Tareas!$C$6:$C$205,MATCH(F$5&amp;"_"&amp;23,Tareas!$N$6:$N$205,0),1)&amp;CHAR(10)&amp;INDEX(Tareas!$E$6:$E$205,MATCH(F$5&amp;"_"&amp;23,Tareas!$N$6:$N$205,0),1)&amp;CHAR(10)&amp;INDEX(Tareas!$O$6:$O$205,MATCH(F$5&amp;"_"&amp;23,Tareas!$N$6:$N$205,0),1))</x:f>
      </x:c>
    </x:row>
    <x:row r="29" ht="76" customHeight="1">
      <x:c r="A29" s="21" t="str">
        <x:f>IF(24&gt;A$4,"",INDEX(Tareas!$A$6:$A$205,MATCH(A$5&amp;"_"&amp;24,Tareas!$N$6:$N$205,0),1)&amp;" · "&amp;INDEX(Tareas!$D$6:$D$205,MATCH(A$5&amp;"_"&amp;24,Tareas!$N$6:$N$205,0),1)&amp;CHAR(10)&amp;INDEX(Tareas!$C$6:$C$205,MATCH(A$5&amp;"_"&amp;24,Tareas!$N$6:$N$205,0),1)&amp;CHAR(10)&amp;INDEX(Tareas!$E$6:$E$205,MATCH(A$5&amp;"_"&amp;24,Tareas!$N$6:$N$205,0),1)&amp;CHAR(10)&amp;INDEX(Tareas!$O$6:$O$205,MATCH(A$5&amp;"_"&amp;24,Tareas!$N$6:$N$205,0),1))</x:f>
      </x:c>
      <x:c r="B29" s="21" t="str">
        <x:f>IF(24&gt;B$4,"",INDEX(Tareas!$A$6:$A$205,MATCH(B$5&amp;"_"&amp;24,Tareas!$N$6:$N$205,0),1)&amp;" · "&amp;INDEX(Tareas!$D$6:$D$205,MATCH(B$5&amp;"_"&amp;24,Tareas!$N$6:$N$205,0),1)&amp;CHAR(10)&amp;INDEX(Tareas!$C$6:$C$205,MATCH(B$5&amp;"_"&amp;24,Tareas!$N$6:$N$205,0),1)&amp;CHAR(10)&amp;INDEX(Tareas!$E$6:$E$205,MATCH(B$5&amp;"_"&amp;24,Tareas!$N$6:$N$205,0),1)&amp;CHAR(10)&amp;INDEX(Tareas!$O$6:$O$205,MATCH(B$5&amp;"_"&amp;24,Tareas!$N$6:$N$205,0),1))</x:f>
      </x:c>
      <x:c r="C29" s="21" t="str">
        <x:f>IF(24&gt;C$4,"",INDEX(Tareas!$A$6:$A$205,MATCH(C$5&amp;"_"&amp;24,Tareas!$N$6:$N$205,0),1)&amp;" · "&amp;INDEX(Tareas!$D$6:$D$205,MATCH(C$5&amp;"_"&amp;24,Tareas!$N$6:$N$205,0),1)&amp;CHAR(10)&amp;INDEX(Tareas!$C$6:$C$205,MATCH(C$5&amp;"_"&amp;24,Tareas!$N$6:$N$205,0),1)&amp;CHAR(10)&amp;INDEX(Tareas!$E$6:$E$205,MATCH(C$5&amp;"_"&amp;24,Tareas!$N$6:$N$205,0),1)&amp;CHAR(10)&amp;INDEX(Tareas!$O$6:$O$205,MATCH(C$5&amp;"_"&amp;24,Tareas!$N$6:$N$205,0),1))</x:f>
      </x:c>
      <x:c r="D29" s="21" t="str">
        <x:f>IF(24&gt;D$4,"",INDEX(Tareas!$A$6:$A$205,MATCH(D$5&amp;"_"&amp;24,Tareas!$N$6:$N$205,0),1)&amp;" · "&amp;INDEX(Tareas!$D$6:$D$205,MATCH(D$5&amp;"_"&amp;24,Tareas!$N$6:$N$205,0),1)&amp;CHAR(10)&amp;INDEX(Tareas!$C$6:$C$205,MATCH(D$5&amp;"_"&amp;24,Tareas!$N$6:$N$205,0),1)&amp;CHAR(10)&amp;INDEX(Tareas!$E$6:$E$205,MATCH(D$5&amp;"_"&amp;24,Tareas!$N$6:$N$205,0),1)&amp;CHAR(10)&amp;INDEX(Tareas!$O$6:$O$205,MATCH(D$5&amp;"_"&amp;24,Tareas!$N$6:$N$205,0),1))</x:f>
      </x:c>
      <x:c r="E29" s="21" t="str">
        <x:f>IF(24&gt;E$4,"",INDEX(Tareas!$A$6:$A$205,MATCH(E$5&amp;"_"&amp;24,Tareas!$N$6:$N$205,0),1)&amp;" · "&amp;INDEX(Tareas!$D$6:$D$205,MATCH(E$5&amp;"_"&amp;24,Tareas!$N$6:$N$205,0),1)&amp;CHAR(10)&amp;INDEX(Tareas!$C$6:$C$205,MATCH(E$5&amp;"_"&amp;24,Tareas!$N$6:$N$205,0),1)&amp;CHAR(10)&amp;INDEX(Tareas!$E$6:$E$205,MATCH(E$5&amp;"_"&amp;24,Tareas!$N$6:$N$205,0),1)&amp;CHAR(10)&amp;INDEX(Tareas!$O$6:$O$205,MATCH(E$5&amp;"_"&amp;24,Tareas!$N$6:$N$205,0),1))</x:f>
      </x:c>
      <x:c r="F29" s="21" t="str">
        <x:f>IF(24&gt;F$4,"",INDEX(Tareas!$A$6:$A$205,MATCH(F$5&amp;"_"&amp;24,Tareas!$N$6:$N$205,0),1)&amp;" · "&amp;INDEX(Tareas!$D$6:$D$205,MATCH(F$5&amp;"_"&amp;24,Tareas!$N$6:$N$205,0),1)&amp;CHAR(10)&amp;INDEX(Tareas!$C$6:$C$205,MATCH(F$5&amp;"_"&amp;24,Tareas!$N$6:$N$205,0),1)&amp;CHAR(10)&amp;INDEX(Tareas!$E$6:$E$205,MATCH(F$5&amp;"_"&amp;24,Tareas!$N$6:$N$205,0),1)&amp;CHAR(10)&amp;INDEX(Tareas!$O$6:$O$205,MATCH(F$5&amp;"_"&amp;24,Tareas!$N$6:$N$205,0),1))</x:f>
      </x:c>
    </x:row>
    <x:row r="30" ht="76" customHeight="1">
      <x:c r="A30" s="21" t="str">
        <x:f>IF(25&gt;A$4,"",INDEX(Tareas!$A$6:$A$205,MATCH(A$5&amp;"_"&amp;25,Tareas!$N$6:$N$205,0),1)&amp;" · "&amp;INDEX(Tareas!$D$6:$D$205,MATCH(A$5&amp;"_"&amp;25,Tareas!$N$6:$N$205,0),1)&amp;CHAR(10)&amp;INDEX(Tareas!$C$6:$C$205,MATCH(A$5&amp;"_"&amp;25,Tareas!$N$6:$N$205,0),1)&amp;CHAR(10)&amp;INDEX(Tareas!$E$6:$E$205,MATCH(A$5&amp;"_"&amp;25,Tareas!$N$6:$N$205,0),1)&amp;CHAR(10)&amp;INDEX(Tareas!$O$6:$O$205,MATCH(A$5&amp;"_"&amp;25,Tareas!$N$6:$N$205,0),1))</x:f>
      </x:c>
      <x:c r="B30" s="21" t="str">
        <x:f>IF(25&gt;B$4,"",INDEX(Tareas!$A$6:$A$205,MATCH(B$5&amp;"_"&amp;25,Tareas!$N$6:$N$205,0),1)&amp;" · "&amp;INDEX(Tareas!$D$6:$D$205,MATCH(B$5&amp;"_"&amp;25,Tareas!$N$6:$N$205,0),1)&amp;CHAR(10)&amp;INDEX(Tareas!$C$6:$C$205,MATCH(B$5&amp;"_"&amp;25,Tareas!$N$6:$N$205,0),1)&amp;CHAR(10)&amp;INDEX(Tareas!$E$6:$E$205,MATCH(B$5&amp;"_"&amp;25,Tareas!$N$6:$N$205,0),1)&amp;CHAR(10)&amp;INDEX(Tareas!$O$6:$O$205,MATCH(B$5&amp;"_"&amp;25,Tareas!$N$6:$N$205,0),1))</x:f>
      </x:c>
      <x:c r="C30" s="21" t="str">
        <x:f>IF(25&gt;C$4,"",INDEX(Tareas!$A$6:$A$205,MATCH(C$5&amp;"_"&amp;25,Tareas!$N$6:$N$205,0),1)&amp;" · "&amp;INDEX(Tareas!$D$6:$D$205,MATCH(C$5&amp;"_"&amp;25,Tareas!$N$6:$N$205,0),1)&amp;CHAR(10)&amp;INDEX(Tareas!$C$6:$C$205,MATCH(C$5&amp;"_"&amp;25,Tareas!$N$6:$N$205,0),1)&amp;CHAR(10)&amp;INDEX(Tareas!$E$6:$E$205,MATCH(C$5&amp;"_"&amp;25,Tareas!$N$6:$N$205,0),1)&amp;CHAR(10)&amp;INDEX(Tareas!$O$6:$O$205,MATCH(C$5&amp;"_"&amp;25,Tareas!$N$6:$N$205,0),1))</x:f>
      </x:c>
      <x:c r="D30" s="21" t="str">
        <x:f>IF(25&gt;D$4,"",INDEX(Tareas!$A$6:$A$205,MATCH(D$5&amp;"_"&amp;25,Tareas!$N$6:$N$205,0),1)&amp;" · "&amp;INDEX(Tareas!$D$6:$D$205,MATCH(D$5&amp;"_"&amp;25,Tareas!$N$6:$N$205,0),1)&amp;CHAR(10)&amp;INDEX(Tareas!$C$6:$C$205,MATCH(D$5&amp;"_"&amp;25,Tareas!$N$6:$N$205,0),1)&amp;CHAR(10)&amp;INDEX(Tareas!$E$6:$E$205,MATCH(D$5&amp;"_"&amp;25,Tareas!$N$6:$N$205,0),1)&amp;CHAR(10)&amp;INDEX(Tareas!$O$6:$O$205,MATCH(D$5&amp;"_"&amp;25,Tareas!$N$6:$N$205,0),1))</x:f>
      </x:c>
      <x:c r="E30" s="21" t="str">
        <x:f>IF(25&gt;E$4,"",INDEX(Tareas!$A$6:$A$205,MATCH(E$5&amp;"_"&amp;25,Tareas!$N$6:$N$205,0),1)&amp;" · "&amp;INDEX(Tareas!$D$6:$D$205,MATCH(E$5&amp;"_"&amp;25,Tareas!$N$6:$N$205,0),1)&amp;CHAR(10)&amp;INDEX(Tareas!$C$6:$C$205,MATCH(E$5&amp;"_"&amp;25,Tareas!$N$6:$N$205,0),1)&amp;CHAR(10)&amp;INDEX(Tareas!$E$6:$E$205,MATCH(E$5&amp;"_"&amp;25,Tareas!$N$6:$N$205,0),1)&amp;CHAR(10)&amp;INDEX(Tareas!$O$6:$O$205,MATCH(E$5&amp;"_"&amp;25,Tareas!$N$6:$N$205,0),1))</x:f>
      </x:c>
      <x:c r="F30" s="21" t="str">
        <x:f>IF(25&gt;F$4,"",INDEX(Tareas!$A$6:$A$205,MATCH(F$5&amp;"_"&amp;25,Tareas!$N$6:$N$205,0),1)&amp;" · "&amp;INDEX(Tareas!$D$6:$D$205,MATCH(F$5&amp;"_"&amp;25,Tareas!$N$6:$N$205,0),1)&amp;CHAR(10)&amp;INDEX(Tareas!$C$6:$C$205,MATCH(F$5&amp;"_"&amp;25,Tareas!$N$6:$N$205,0),1)&amp;CHAR(10)&amp;INDEX(Tareas!$E$6:$E$205,MATCH(F$5&amp;"_"&amp;25,Tareas!$N$6:$N$205,0),1)&amp;CHAR(10)&amp;INDEX(Tareas!$O$6:$O$205,MATCH(F$5&amp;"_"&amp;25,Tareas!$N$6:$N$205,0),1))</x:f>
      </x:c>
    </x:row>
    <x:row r="31" ht="76" customHeight="1">
      <x:c r="A31" s="21" t="str">
        <x:f>IF(26&gt;A$4,"",INDEX(Tareas!$A$6:$A$205,MATCH(A$5&amp;"_"&amp;26,Tareas!$N$6:$N$205,0),1)&amp;" · "&amp;INDEX(Tareas!$D$6:$D$205,MATCH(A$5&amp;"_"&amp;26,Tareas!$N$6:$N$205,0),1)&amp;CHAR(10)&amp;INDEX(Tareas!$C$6:$C$205,MATCH(A$5&amp;"_"&amp;26,Tareas!$N$6:$N$205,0),1)&amp;CHAR(10)&amp;INDEX(Tareas!$E$6:$E$205,MATCH(A$5&amp;"_"&amp;26,Tareas!$N$6:$N$205,0),1)&amp;CHAR(10)&amp;INDEX(Tareas!$O$6:$O$205,MATCH(A$5&amp;"_"&amp;26,Tareas!$N$6:$N$205,0),1))</x:f>
      </x:c>
      <x:c r="B31" s="21" t="str">
        <x:f>IF(26&gt;B$4,"",INDEX(Tareas!$A$6:$A$205,MATCH(B$5&amp;"_"&amp;26,Tareas!$N$6:$N$205,0),1)&amp;" · "&amp;INDEX(Tareas!$D$6:$D$205,MATCH(B$5&amp;"_"&amp;26,Tareas!$N$6:$N$205,0),1)&amp;CHAR(10)&amp;INDEX(Tareas!$C$6:$C$205,MATCH(B$5&amp;"_"&amp;26,Tareas!$N$6:$N$205,0),1)&amp;CHAR(10)&amp;INDEX(Tareas!$E$6:$E$205,MATCH(B$5&amp;"_"&amp;26,Tareas!$N$6:$N$205,0),1)&amp;CHAR(10)&amp;INDEX(Tareas!$O$6:$O$205,MATCH(B$5&amp;"_"&amp;26,Tareas!$N$6:$N$205,0),1))</x:f>
      </x:c>
      <x:c r="C31" s="21" t="str">
        <x:f>IF(26&gt;C$4,"",INDEX(Tareas!$A$6:$A$205,MATCH(C$5&amp;"_"&amp;26,Tareas!$N$6:$N$205,0),1)&amp;" · "&amp;INDEX(Tareas!$D$6:$D$205,MATCH(C$5&amp;"_"&amp;26,Tareas!$N$6:$N$205,0),1)&amp;CHAR(10)&amp;INDEX(Tareas!$C$6:$C$205,MATCH(C$5&amp;"_"&amp;26,Tareas!$N$6:$N$205,0),1)&amp;CHAR(10)&amp;INDEX(Tareas!$E$6:$E$205,MATCH(C$5&amp;"_"&amp;26,Tareas!$N$6:$N$205,0),1)&amp;CHAR(10)&amp;INDEX(Tareas!$O$6:$O$205,MATCH(C$5&amp;"_"&amp;26,Tareas!$N$6:$N$205,0),1))</x:f>
      </x:c>
      <x:c r="D31" s="21" t="str">
        <x:f>IF(26&gt;D$4,"",INDEX(Tareas!$A$6:$A$205,MATCH(D$5&amp;"_"&amp;26,Tareas!$N$6:$N$205,0),1)&amp;" · "&amp;INDEX(Tareas!$D$6:$D$205,MATCH(D$5&amp;"_"&amp;26,Tareas!$N$6:$N$205,0),1)&amp;CHAR(10)&amp;INDEX(Tareas!$C$6:$C$205,MATCH(D$5&amp;"_"&amp;26,Tareas!$N$6:$N$205,0),1)&amp;CHAR(10)&amp;INDEX(Tareas!$E$6:$E$205,MATCH(D$5&amp;"_"&amp;26,Tareas!$N$6:$N$205,0),1)&amp;CHAR(10)&amp;INDEX(Tareas!$O$6:$O$205,MATCH(D$5&amp;"_"&amp;26,Tareas!$N$6:$N$205,0),1))</x:f>
      </x:c>
      <x:c r="E31" s="21" t="str">
        <x:f>IF(26&gt;E$4,"",INDEX(Tareas!$A$6:$A$205,MATCH(E$5&amp;"_"&amp;26,Tareas!$N$6:$N$205,0),1)&amp;" · "&amp;INDEX(Tareas!$D$6:$D$205,MATCH(E$5&amp;"_"&amp;26,Tareas!$N$6:$N$205,0),1)&amp;CHAR(10)&amp;INDEX(Tareas!$C$6:$C$205,MATCH(E$5&amp;"_"&amp;26,Tareas!$N$6:$N$205,0),1)&amp;CHAR(10)&amp;INDEX(Tareas!$E$6:$E$205,MATCH(E$5&amp;"_"&amp;26,Tareas!$N$6:$N$205,0),1)&amp;CHAR(10)&amp;INDEX(Tareas!$O$6:$O$205,MATCH(E$5&amp;"_"&amp;26,Tareas!$N$6:$N$205,0),1))</x:f>
      </x:c>
      <x:c r="F31" s="21" t="str">
        <x:f>IF(26&gt;F$4,"",INDEX(Tareas!$A$6:$A$205,MATCH(F$5&amp;"_"&amp;26,Tareas!$N$6:$N$205,0),1)&amp;" · "&amp;INDEX(Tareas!$D$6:$D$205,MATCH(F$5&amp;"_"&amp;26,Tareas!$N$6:$N$205,0),1)&amp;CHAR(10)&amp;INDEX(Tareas!$C$6:$C$205,MATCH(F$5&amp;"_"&amp;26,Tareas!$N$6:$N$205,0),1)&amp;CHAR(10)&amp;INDEX(Tareas!$E$6:$E$205,MATCH(F$5&amp;"_"&amp;26,Tareas!$N$6:$N$205,0),1)&amp;CHAR(10)&amp;INDEX(Tareas!$O$6:$O$205,MATCH(F$5&amp;"_"&amp;26,Tareas!$N$6:$N$205,0),1))</x:f>
      </x:c>
    </x:row>
    <x:row r="32" ht="76" customHeight="1">
      <x:c r="A32" s="21" t="str">
        <x:f>IF(27&gt;A$4,"",INDEX(Tareas!$A$6:$A$205,MATCH(A$5&amp;"_"&amp;27,Tareas!$N$6:$N$205,0),1)&amp;" · "&amp;INDEX(Tareas!$D$6:$D$205,MATCH(A$5&amp;"_"&amp;27,Tareas!$N$6:$N$205,0),1)&amp;CHAR(10)&amp;INDEX(Tareas!$C$6:$C$205,MATCH(A$5&amp;"_"&amp;27,Tareas!$N$6:$N$205,0),1)&amp;CHAR(10)&amp;INDEX(Tareas!$E$6:$E$205,MATCH(A$5&amp;"_"&amp;27,Tareas!$N$6:$N$205,0),1)&amp;CHAR(10)&amp;INDEX(Tareas!$O$6:$O$205,MATCH(A$5&amp;"_"&amp;27,Tareas!$N$6:$N$205,0),1))</x:f>
      </x:c>
      <x:c r="B32" s="21" t="str">
        <x:f>IF(27&gt;B$4,"",INDEX(Tareas!$A$6:$A$205,MATCH(B$5&amp;"_"&amp;27,Tareas!$N$6:$N$205,0),1)&amp;" · "&amp;INDEX(Tareas!$D$6:$D$205,MATCH(B$5&amp;"_"&amp;27,Tareas!$N$6:$N$205,0),1)&amp;CHAR(10)&amp;INDEX(Tareas!$C$6:$C$205,MATCH(B$5&amp;"_"&amp;27,Tareas!$N$6:$N$205,0),1)&amp;CHAR(10)&amp;INDEX(Tareas!$E$6:$E$205,MATCH(B$5&amp;"_"&amp;27,Tareas!$N$6:$N$205,0),1)&amp;CHAR(10)&amp;INDEX(Tareas!$O$6:$O$205,MATCH(B$5&amp;"_"&amp;27,Tareas!$N$6:$N$205,0),1))</x:f>
      </x:c>
      <x:c r="C32" s="21" t="str">
        <x:f>IF(27&gt;C$4,"",INDEX(Tareas!$A$6:$A$205,MATCH(C$5&amp;"_"&amp;27,Tareas!$N$6:$N$205,0),1)&amp;" · "&amp;INDEX(Tareas!$D$6:$D$205,MATCH(C$5&amp;"_"&amp;27,Tareas!$N$6:$N$205,0),1)&amp;CHAR(10)&amp;INDEX(Tareas!$C$6:$C$205,MATCH(C$5&amp;"_"&amp;27,Tareas!$N$6:$N$205,0),1)&amp;CHAR(10)&amp;INDEX(Tareas!$E$6:$E$205,MATCH(C$5&amp;"_"&amp;27,Tareas!$N$6:$N$205,0),1)&amp;CHAR(10)&amp;INDEX(Tareas!$O$6:$O$205,MATCH(C$5&amp;"_"&amp;27,Tareas!$N$6:$N$205,0),1))</x:f>
      </x:c>
      <x:c r="D32" s="21" t="str">
        <x:f>IF(27&gt;D$4,"",INDEX(Tareas!$A$6:$A$205,MATCH(D$5&amp;"_"&amp;27,Tareas!$N$6:$N$205,0),1)&amp;" · "&amp;INDEX(Tareas!$D$6:$D$205,MATCH(D$5&amp;"_"&amp;27,Tareas!$N$6:$N$205,0),1)&amp;CHAR(10)&amp;INDEX(Tareas!$C$6:$C$205,MATCH(D$5&amp;"_"&amp;27,Tareas!$N$6:$N$205,0),1)&amp;CHAR(10)&amp;INDEX(Tareas!$E$6:$E$205,MATCH(D$5&amp;"_"&amp;27,Tareas!$N$6:$N$205,0),1)&amp;CHAR(10)&amp;INDEX(Tareas!$O$6:$O$205,MATCH(D$5&amp;"_"&amp;27,Tareas!$N$6:$N$205,0),1))</x:f>
      </x:c>
      <x:c r="E32" s="21" t="str">
        <x:f>IF(27&gt;E$4,"",INDEX(Tareas!$A$6:$A$205,MATCH(E$5&amp;"_"&amp;27,Tareas!$N$6:$N$205,0),1)&amp;" · "&amp;INDEX(Tareas!$D$6:$D$205,MATCH(E$5&amp;"_"&amp;27,Tareas!$N$6:$N$205,0),1)&amp;CHAR(10)&amp;INDEX(Tareas!$C$6:$C$205,MATCH(E$5&amp;"_"&amp;27,Tareas!$N$6:$N$205,0),1)&amp;CHAR(10)&amp;INDEX(Tareas!$E$6:$E$205,MATCH(E$5&amp;"_"&amp;27,Tareas!$N$6:$N$205,0),1)&amp;CHAR(10)&amp;INDEX(Tareas!$O$6:$O$205,MATCH(E$5&amp;"_"&amp;27,Tareas!$N$6:$N$205,0),1))</x:f>
      </x:c>
      <x:c r="F32" s="21" t="str">
        <x:f>IF(27&gt;F$4,"",INDEX(Tareas!$A$6:$A$205,MATCH(F$5&amp;"_"&amp;27,Tareas!$N$6:$N$205,0),1)&amp;" · "&amp;INDEX(Tareas!$D$6:$D$205,MATCH(F$5&amp;"_"&amp;27,Tareas!$N$6:$N$205,0),1)&amp;CHAR(10)&amp;INDEX(Tareas!$C$6:$C$205,MATCH(F$5&amp;"_"&amp;27,Tareas!$N$6:$N$205,0),1)&amp;CHAR(10)&amp;INDEX(Tareas!$E$6:$E$205,MATCH(F$5&amp;"_"&amp;27,Tareas!$N$6:$N$205,0),1)&amp;CHAR(10)&amp;INDEX(Tareas!$O$6:$O$205,MATCH(F$5&amp;"_"&amp;27,Tareas!$N$6:$N$205,0),1))</x:f>
      </x:c>
    </x:row>
    <x:row r="33" ht="76" customHeight="1">
      <x:c r="A33" s="21" t="str">
        <x:f>IF(28&gt;A$4,"",INDEX(Tareas!$A$6:$A$205,MATCH(A$5&amp;"_"&amp;28,Tareas!$N$6:$N$205,0),1)&amp;" · "&amp;INDEX(Tareas!$D$6:$D$205,MATCH(A$5&amp;"_"&amp;28,Tareas!$N$6:$N$205,0),1)&amp;CHAR(10)&amp;INDEX(Tareas!$C$6:$C$205,MATCH(A$5&amp;"_"&amp;28,Tareas!$N$6:$N$205,0),1)&amp;CHAR(10)&amp;INDEX(Tareas!$E$6:$E$205,MATCH(A$5&amp;"_"&amp;28,Tareas!$N$6:$N$205,0),1)&amp;CHAR(10)&amp;INDEX(Tareas!$O$6:$O$205,MATCH(A$5&amp;"_"&amp;28,Tareas!$N$6:$N$205,0),1))</x:f>
      </x:c>
      <x:c r="B33" s="21" t="str">
        <x:f>IF(28&gt;B$4,"",INDEX(Tareas!$A$6:$A$205,MATCH(B$5&amp;"_"&amp;28,Tareas!$N$6:$N$205,0),1)&amp;" · "&amp;INDEX(Tareas!$D$6:$D$205,MATCH(B$5&amp;"_"&amp;28,Tareas!$N$6:$N$205,0),1)&amp;CHAR(10)&amp;INDEX(Tareas!$C$6:$C$205,MATCH(B$5&amp;"_"&amp;28,Tareas!$N$6:$N$205,0),1)&amp;CHAR(10)&amp;INDEX(Tareas!$E$6:$E$205,MATCH(B$5&amp;"_"&amp;28,Tareas!$N$6:$N$205,0),1)&amp;CHAR(10)&amp;INDEX(Tareas!$O$6:$O$205,MATCH(B$5&amp;"_"&amp;28,Tareas!$N$6:$N$205,0),1))</x:f>
      </x:c>
      <x:c r="C33" s="21" t="str">
        <x:f>IF(28&gt;C$4,"",INDEX(Tareas!$A$6:$A$205,MATCH(C$5&amp;"_"&amp;28,Tareas!$N$6:$N$205,0),1)&amp;" · "&amp;INDEX(Tareas!$D$6:$D$205,MATCH(C$5&amp;"_"&amp;28,Tareas!$N$6:$N$205,0),1)&amp;CHAR(10)&amp;INDEX(Tareas!$C$6:$C$205,MATCH(C$5&amp;"_"&amp;28,Tareas!$N$6:$N$205,0),1)&amp;CHAR(10)&amp;INDEX(Tareas!$E$6:$E$205,MATCH(C$5&amp;"_"&amp;28,Tareas!$N$6:$N$205,0),1)&amp;CHAR(10)&amp;INDEX(Tareas!$O$6:$O$205,MATCH(C$5&amp;"_"&amp;28,Tareas!$N$6:$N$205,0),1))</x:f>
      </x:c>
      <x:c r="D33" s="21" t="str">
        <x:f>IF(28&gt;D$4,"",INDEX(Tareas!$A$6:$A$205,MATCH(D$5&amp;"_"&amp;28,Tareas!$N$6:$N$205,0),1)&amp;" · "&amp;INDEX(Tareas!$D$6:$D$205,MATCH(D$5&amp;"_"&amp;28,Tareas!$N$6:$N$205,0),1)&amp;CHAR(10)&amp;INDEX(Tareas!$C$6:$C$205,MATCH(D$5&amp;"_"&amp;28,Tareas!$N$6:$N$205,0),1)&amp;CHAR(10)&amp;INDEX(Tareas!$E$6:$E$205,MATCH(D$5&amp;"_"&amp;28,Tareas!$N$6:$N$205,0),1)&amp;CHAR(10)&amp;INDEX(Tareas!$O$6:$O$205,MATCH(D$5&amp;"_"&amp;28,Tareas!$N$6:$N$205,0),1))</x:f>
      </x:c>
      <x:c r="E33" s="21" t="str">
        <x:f>IF(28&gt;E$4,"",INDEX(Tareas!$A$6:$A$205,MATCH(E$5&amp;"_"&amp;28,Tareas!$N$6:$N$205,0),1)&amp;" · "&amp;INDEX(Tareas!$D$6:$D$205,MATCH(E$5&amp;"_"&amp;28,Tareas!$N$6:$N$205,0),1)&amp;CHAR(10)&amp;INDEX(Tareas!$C$6:$C$205,MATCH(E$5&amp;"_"&amp;28,Tareas!$N$6:$N$205,0),1)&amp;CHAR(10)&amp;INDEX(Tareas!$E$6:$E$205,MATCH(E$5&amp;"_"&amp;28,Tareas!$N$6:$N$205,0),1)&amp;CHAR(10)&amp;INDEX(Tareas!$O$6:$O$205,MATCH(E$5&amp;"_"&amp;28,Tareas!$N$6:$N$205,0),1))</x:f>
      </x:c>
      <x:c r="F33" s="21" t="str">
        <x:f>IF(28&gt;F$4,"",INDEX(Tareas!$A$6:$A$205,MATCH(F$5&amp;"_"&amp;28,Tareas!$N$6:$N$205,0),1)&amp;" · "&amp;INDEX(Tareas!$D$6:$D$205,MATCH(F$5&amp;"_"&amp;28,Tareas!$N$6:$N$205,0),1)&amp;CHAR(10)&amp;INDEX(Tareas!$C$6:$C$205,MATCH(F$5&amp;"_"&amp;28,Tareas!$N$6:$N$205,0),1)&amp;CHAR(10)&amp;INDEX(Tareas!$E$6:$E$205,MATCH(F$5&amp;"_"&amp;28,Tareas!$N$6:$N$205,0),1)&amp;CHAR(10)&amp;INDEX(Tareas!$O$6:$O$205,MATCH(F$5&amp;"_"&amp;28,Tareas!$N$6:$N$205,0),1))</x:f>
      </x:c>
    </x:row>
    <x:row r="34" ht="76" customHeight="1">
      <x:c r="A34" s="21" t="str">
        <x:f>IF(29&gt;A$4,"",INDEX(Tareas!$A$6:$A$205,MATCH(A$5&amp;"_"&amp;29,Tareas!$N$6:$N$205,0),1)&amp;" · "&amp;INDEX(Tareas!$D$6:$D$205,MATCH(A$5&amp;"_"&amp;29,Tareas!$N$6:$N$205,0),1)&amp;CHAR(10)&amp;INDEX(Tareas!$C$6:$C$205,MATCH(A$5&amp;"_"&amp;29,Tareas!$N$6:$N$205,0),1)&amp;CHAR(10)&amp;INDEX(Tareas!$E$6:$E$205,MATCH(A$5&amp;"_"&amp;29,Tareas!$N$6:$N$205,0),1)&amp;CHAR(10)&amp;INDEX(Tareas!$O$6:$O$205,MATCH(A$5&amp;"_"&amp;29,Tareas!$N$6:$N$205,0),1))</x:f>
      </x:c>
      <x:c r="B34" s="21" t="str">
        <x:f>IF(29&gt;B$4,"",INDEX(Tareas!$A$6:$A$205,MATCH(B$5&amp;"_"&amp;29,Tareas!$N$6:$N$205,0),1)&amp;" · "&amp;INDEX(Tareas!$D$6:$D$205,MATCH(B$5&amp;"_"&amp;29,Tareas!$N$6:$N$205,0),1)&amp;CHAR(10)&amp;INDEX(Tareas!$C$6:$C$205,MATCH(B$5&amp;"_"&amp;29,Tareas!$N$6:$N$205,0),1)&amp;CHAR(10)&amp;INDEX(Tareas!$E$6:$E$205,MATCH(B$5&amp;"_"&amp;29,Tareas!$N$6:$N$205,0),1)&amp;CHAR(10)&amp;INDEX(Tareas!$O$6:$O$205,MATCH(B$5&amp;"_"&amp;29,Tareas!$N$6:$N$205,0),1))</x:f>
      </x:c>
      <x:c r="C34" s="21" t="str">
        <x:f>IF(29&gt;C$4,"",INDEX(Tareas!$A$6:$A$205,MATCH(C$5&amp;"_"&amp;29,Tareas!$N$6:$N$205,0),1)&amp;" · "&amp;INDEX(Tareas!$D$6:$D$205,MATCH(C$5&amp;"_"&amp;29,Tareas!$N$6:$N$205,0),1)&amp;CHAR(10)&amp;INDEX(Tareas!$C$6:$C$205,MATCH(C$5&amp;"_"&amp;29,Tareas!$N$6:$N$205,0),1)&amp;CHAR(10)&amp;INDEX(Tareas!$E$6:$E$205,MATCH(C$5&amp;"_"&amp;29,Tareas!$N$6:$N$205,0),1)&amp;CHAR(10)&amp;INDEX(Tareas!$O$6:$O$205,MATCH(C$5&amp;"_"&amp;29,Tareas!$N$6:$N$205,0),1))</x:f>
      </x:c>
      <x:c r="D34" s="21" t="str">
        <x:f>IF(29&gt;D$4,"",INDEX(Tareas!$A$6:$A$205,MATCH(D$5&amp;"_"&amp;29,Tareas!$N$6:$N$205,0),1)&amp;" · "&amp;INDEX(Tareas!$D$6:$D$205,MATCH(D$5&amp;"_"&amp;29,Tareas!$N$6:$N$205,0),1)&amp;CHAR(10)&amp;INDEX(Tareas!$C$6:$C$205,MATCH(D$5&amp;"_"&amp;29,Tareas!$N$6:$N$205,0),1)&amp;CHAR(10)&amp;INDEX(Tareas!$E$6:$E$205,MATCH(D$5&amp;"_"&amp;29,Tareas!$N$6:$N$205,0),1)&amp;CHAR(10)&amp;INDEX(Tareas!$O$6:$O$205,MATCH(D$5&amp;"_"&amp;29,Tareas!$N$6:$N$205,0),1))</x:f>
      </x:c>
      <x:c r="E34" s="21" t="str">
        <x:f>IF(29&gt;E$4,"",INDEX(Tareas!$A$6:$A$205,MATCH(E$5&amp;"_"&amp;29,Tareas!$N$6:$N$205,0),1)&amp;" · "&amp;INDEX(Tareas!$D$6:$D$205,MATCH(E$5&amp;"_"&amp;29,Tareas!$N$6:$N$205,0),1)&amp;CHAR(10)&amp;INDEX(Tareas!$C$6:$C$205,MATCH(E$5&amp;"_"&amp;29,Tareas!$N$6:$N$205,0),1)&amp;CHAR(10)&amp;INDEX(Tareas!$E$6:$E$205,MATCH(E$5&amp;"_"&amp;29,Tareas!$N$6:$N$205,0),1)&amp;CHAR(10)&amp;INDEX(Tareas!$O$6:$O$205,MATCH(E$5&amp;"_"&amp;29,Tareas!$N$6:$N$205,0),1))</x:f>
      </x:c>
      <x:c r="F34" s="21" t="str">
        <x:f>IF(29&gt;F$4,"",INDEX(Tareas!$A$6:$A$205,MATCH(F$5&amp;"_"&amp;29,Tareas!$N$6:$N$205,0),1)&amp;" · "&amp;INDEX(Tareas!$D$6:$D$205,MATCH(F$5&amp;"_"&amp;29,Tareas!$N$6:$N$205,0),1)&amp;CHAR(10)&amp;INDEX(Tareas!$C$6:$C$205,MATCH(F$5&amp;"_"&amp;29,Tareas!$N$6:$N$205,0),1)&amp;CHAR(10)&amp;INDEX(Tareas!$E$6:$E$205,MATCH(F$5&amp;"_"&amp;29,Tareas!$N$6:$N$205,0),1)&amp;CHAR(10)&amp;INDEX(Tareas!$O$6:$O$205,MATCH(F$5&amp;"_"&amp;29,Tareas!$N$6:$N$205,0),1))</x:f>
      </x:c>
    </x:row>
    <x:row r="35" ht="76" customHeight="1">
      <x:c r="A35" s="21" t="str">
        <x:f>IF(30&gt;A$4,"",INDEX(Tareas!$A$6:$A$205,MATCH(A$5&amp;"_"&amp;30,Tareas!$N$6:$N$205,0),1)&amp;" · "&amp;INDEX(Tareas!$D$6:$D$205,MATCH(A$5&amp;"_"&amp;30,Tareas!$N$6:$N$205,0),1)&amp;CHAR(10)&amp;INDEX(Tareas!$C$6:$C$205,MATCH(A$5&amp;"_"&amp;30,Tareas!$N$6:$N$205,0),1)&amp;CHAR(10)&amp;INDEX(Tareas!$E$6:$E$205,MATCH(A$5&amp;"_"&amp;30,Tareas!$N$6:$N$205,0),1)&amp;CHAR(10)&amp;INDEX(Tareas!$O$6:$O$205,MATCH(A$5&amp;"_"&amp;30,Tareas!$N$6:$N$205,0),1))</x:f>
      </x:c>
      <x:c r="B35" s="21" t="str">
        <x:f>IF(30&gt;B$4,"",INDEX(Tareas!$A$6:$A$205,MATCH(B$5&amp;"_"&amp;30,Tareas!$N$6:$N$205,0),1)&amp;" · "&amp;INDEX(Tareas!$D$6:$D$205,MATCH(B$5&amp;"_"&amp;30,Tareas!$N$6:$N$205,0),1)&amp;CHAR(10)&amp;INDEX(Tareas!$C$6:$C$205,MATCH(B$5&amp;"_"&amp;30,Tareas!$N$6:$N$205,0),1)&amp;CHAR(10)&amp;INDEX(Tareas!$E$6:$E$205,MATCH(B$5&amp;"_"&amp;30,Tareas!$N$6:$N$205,0),1)&amp;CHAR(10)&amp;INDEX(Tareas!$O$6:$O$205,MATCH(B$5&amp;"_"&amp;30,Tareas!$N$6:$N$205,0),1))</x:f>
      </x:c>
      <x:c r="C35" s="21" t="str">
        <x:f>IF(30&gt;C$4,"",INDEX(Tareas!$A$6:$A$205,MATCH(C$5&amp;"_"&amp;30,Tareas!$N$6:$N$205,0),1)&amp;" · "&amp;INDEX(Tareas!$D$6:$D$205,MATCH(C$5&amp;"_"&amp;30,Tareas!$N$6:$N$205,0),1)&amp;CHAR(10)&amp;INDEX(Tareas!$C$6:$C$205,MATCH(C$5&amp;"_"&amp;30,Tareas!$N$6:$N$205,0),1)&amp;CHAR(10)&amp;INDEX(Tareas!$E$6:$E$205,MATCH(C$5&amp;"_"&amp;30,Tareas!$N$6:$N$205,0),1)&amp;CHAR(10)&amp;INDEX(Tareas!$O$6:$O$205,MATCH(C$5&amp;"_"&amp;30,Tareas!$N$6:$N$205,0),1))</x:f>
      </x:c>
      <x:c r="D35" s="21" t="str">
        <x:f>IF(30&gt;D$4,"",INDEX(Tareas!$A$6:$A$205,MATCH(D$5&amp;"_"&amp;30,Tareas!$N$6:$N$205,0),1)&amp;" · "&amp;INDEX(Tareas!$D$6:$D$205,MATCH(D$5&amp;"_"&amp;30,Tareas!$N$6:$N$205,0),1)&amp;CHAR(10)&amp;INDEX(Tareas!$C$6:$C$205,MATCH(D$5&amp;"_"&amp;30,Tareas!$N$6:$N$205,0),1)&amp;CHAR(10)&amp;INDEX(Tareas!$E$6:$E$205,MATCH(D$5&amp;"_"&amp;30,Tareas!$N$6:$N$205,0),1)&amp;CHAR(10)&amp;INDEX(Tareas!$O$6:$O$205,MATCH(D$5&amp;"_"&amp;30,Tareas!$N$6:$N$205,0),1))</x:f>
      </x:c>
      <x:c r="E35" s="21" t="str">
        <x:f>IF(30&gt;E$4,"",INDEX(Tareas!$A$6:$A$205,MATCH(E$5&amp;"_"&amp;30,Tareas!$N$6:$N$205,0),1)&amp;" · "&amp;INDEX(Tareas!$D$6:$D$205,MATCH(E$5&amp;"_"&amp;30,Tareas!$N$6:$N$205,0),1)&amp;CHAR(10)&amp;INDEX(Tareas!$C$6:$C$205,MATCH(E$5&amp;"_"&amp;30,Tareas!$N$6:$N$205,0),1)&amp;CHAR(10)&amp;INDEX(Tareas!$E$6:$E$205,MATCH(E$5&amp;"_"&amp;30,Tareas!$N$6:$N$205,0),1)&amp;CHAR(10)&amp;INDEX(Tareas!$O$6:$O$205,MATCH(E$5&amp;"_"&amp;30,Tareas!$N$6:$N$205,0),1))</x:f>
      </x:c>
      <x:c r="F35" s="21" t="str">
        <x:f>IF(30&gt;F$4,"",INDEX(Tareas!$A$6:$A$205,MATCH(F$5&amp;"_"&amp;30,Tareas!$N$6:$N$205,0),1)&amp;" · "&amp;INDEX(Tareas!$D$6:$D$205,MATCH(F$5&amp;"_"&amp;30,Tareas!$N$6:$N$205,0),1)&amp;CHAR(10)&amp;INDEX(Tareas!$C$6:$C$205,MATCH(F$5&amp;"_"&amp;30,Tareas!$N$6:$N$205,0),1)&amp;CHAR(10)&amp;INDEX(Tareas!$E$6:$E$205,MATCH(F$5&amp;"_"&amp;30,Tareas!$N$6:$N$205,0),1)&amp;CHAR(10)&amp;INDEX(Tareas!$O$6:$O$205,MATCH(F$5&amp;"_"&amp;30,Tareas!$N$6:$N$205,0),1))</x:f>
      </x:c>
    </x:row>
    <x:row r="36" ht="76" customHeight="1">
      <x:c r="A36" s="21" t="str">
        <x:f>IF(31&gt;A$4,"",INDEX(Tareas!$A$6:$A$205,MATCH(A$5&amp;"_"&amp;31,Tareas!$N$6:$N$205,0),1)&amp;" · "&amp;INDEX(Tareas!$D$6:$D$205,MATCH(A$5&amp;"_"&amp;31,Tareas!$N$6:$N$205,0),1)&amp;CHAR(10)&amp;INDEX(Tareas!$C$6:$C$205,MATCH(A$5&amp;"_"&amp;31,Tareas!$N$6:$N$205,0),1)&amp;CHAR(10)&amp;INDEX(Tareas!$E$6:$E$205,MATCH(A$5&amp;"_"&amp;31,Tareas!$N$6:$N$205,0),1)&amp;CHAR(10)&amp;INDEX(Tareas!$O$6:$O$205,MATCH(A$5&amp;"_"&amp;31,Tareas!$N$6:$N$205,0),1))</x:f>
      </x:c>
      <x:c r="B36" s="21" t="str">
        <x:f>IF(31&gt;B$4,"",INDEX(Tareas!$A$6:$A$205,MATCH(B$5&amp;"_"&amp;31,Tareas!$N$6:$N$205,0),1)&amp;" · "&amp;INDEX(Tareas!$D$6:$D$205,MATCH(B$5&amp;"_"&amp;31,Tareas!$N$6:$N$205,0),1)&amp;CHAR(10)&amp;INDEX(Tareas!$C$6:$C$205,MATCH(B$5&amp;"_"&amp;31,Tareas!$N$6:$N$205,0),1)&amp;CHAR(10)&amp;INDEX(Tareas!$E$6:$E$205,MATCH(B$5&amp;"_"&amp;31,Tareas!$N$6:$N$205,0),1)&amp;CHAR(10)&amp;INDEX(Tareas!$O$6:$O$205,MATCH(B$5&amp;"_"&amp;31,Tareas!$N$6:$N$205,0),1))</x:f>
      </x:c>
      <x:c r="C36" s="21" t="str">
        <x:f>IF(31&gt;C$4,"",INDEX(Tareas!$A$6:$A$205,MATCH(C$5&amp;"_"&amp;31,Tareas!$N$6:$N$205,0),1)&amp;" · "&amp;INDEX(Tareas!$D$6:$D$205,MATCH(C$5&amp;"_"&amp;31,Tareas!$N$6:$N$205,0),1)&amp;CHAR(10)&amp;INDEX(Tareas!$C$6:$C$205,MATCH(C$5&amp;"_"&amp;31,Tareas!$N$6:$N$205,0),1)&amp;CHAR(10)&amp;INDEX(Tareas!$E$6:$E$205,MATCH(C$5&amp;"_"&amp;31,Tareas!$N$6:$N$205,0),1)&amp;CHAR(10)&amp;INDEX(Tareas!$O$6:$O$205,MATCH(C$5&amp;"_"&amp;31,Tareas!$N$6:$N$205,0),1))</x:f>
      </x:c>
      <x:c r="D36" s="21" t="str">
        <x:f>IF(31&gt;D$4,"",INDEX(Tareas!$A$6:$A$205,MATCH(D$5&amp;"_"&amp;31,Tareas!$N$6:$N$205,0),1)&amp;" · "&amp;INDEX(Tareas!$D$6:$D$205,MATCH(D$5&amp;"_"&amp;31,Tareas!$N$6:$N$205,0),1)&amp;CHAR(10)&amp;INDEX(Tareas!$C$6:$C$205,MATCH(D$5&amp;"_"&amp;31,Tareas!$N$6:$N$205,0),1)&amp;CHAR(10)&amp;INDEX(Tareas!$E$6:$E$205,MATCH(D$5&amp;"_"&amp;31,Tareas!$N$6:$N$205,0),1)&amp;CHAR(10)&amp;INDEX(Tareas!$O$6:$O$205,MATCH(D$5&amp;"_"&amp;31,Tareas!$N$6:$N$205,0),1))</x:f>
      </x:c>
      <x:c r="E36" s="21" t="str">
        <x:f>IF(31&gt;E$4,"",INDEX(Tareas!$A$6:$A$205,MATCH(E$5&amp;"_"&amp;31,Tareas!$N$6:$N$205,0),1)&amp;" · "&amp;INDEX(Tareas!$D$6:$D$205,MATCH(E$5&amp;"_"&amp;31,Tareas!$N$6:$N$205,0),1)&amp;CHAR(10)&amp;INDEX(Tareas!$C$6:$C$205,MATCH(E$5&amp;"_"&amp;31,Tareas!$N$6:$N$205,0),1)&amp;CHAR(10)&amp;INDEX(Tareas!$E$6:$E$205,MATCH(E$5&amp;"_"&amp;31,Tareas!$N$6:$N$205,0),1)&amp;CHAR(10)&amp;INDEX(Tareas!$O$6:$O$205,MATCH(E$5&amp;"_"&amp;31,Tareas!$N$6:$N$205,0),1))</x:f>
      </x:c>
      <x:c r="F36" s="21" t="str">
        <x:f>IF(31&gt;F$4,"",INDEX(Tareas!$A$6:$A$205,MATCH(F$5&amp;"_"&amp;31,Tareas!$N$6:$N$205,0),1)&amp;" · "&amp;INDEX(Tareas!$D$6:$D$205,MATCH(F$5&amp;"_"&amp;31,Tareas!$N$6:$N$205,0),1)&amp;CHAR(10)&amp;INDEX(Tareas!$C$6:$C$205,MATCH(F$5&amp;"_"&amp;31,Tareas!$N$6:$N$205,0),1)&amp;CHAR(10)&amp;INDEX(Tareas!$E$6:$E$205,MATCH(F$5&amp;"_"&amp;31,Tareas!$N$6:$N$205,0),1)&amp;CHAR(10)&amp;INDEX(Tareas!$O$6:$O$205,MATCH(F$5&amp;"_"&amp;31,Tareas!$N$6:$N$205,0),1))</x:f>
      </x:c>
    </x:row>
    <x:row r="37" ht="76" customHeight="1">
      <x:c r="A37" s="21" t="str">
        <x:f>IF(32&gt;A$4,"",INDEX(Tareas!$A$6:$A$205,MATCH(A$5&amp;"_"&amp;32,Tareas!$N$6:$N$205,0),1)&amp;" · "&amp;INDEX(Tareas!$D$6:$D$205,MATCH(A$5&amp;"_"&amp;32,Tareas!$N$6:$N$205,0),1)&amp;CHAR(10)&amp;INDEX(Tareas!$C$6:$C$205,MATCH(A$5&amp;"_"&amp;32,Tareas!$N$6:$N$205,0),1)&amp;CHAR(10)&amp;INDEX(Tareas!$E$6:$E$205,MATCH(A$5&amp;"_"&amp;32,Tareas!$N$6:$N$205,0),1)&amp;CHAR(10)&amp;INDEX(Tareas!$O$6:$O$205,MATCH(A$5&amp;"_"&amp;32,Tareas!$N$6:$N$205,0),1))</x:f>
      </x:c>
      <x:c r="B37" s="21" t="str">
        <x:f>IF(32&gt;B$4,"",INDEX(Tareas!$A$6:$A$205,MATCH(B$5&amp;"_"&amp;32,Tareas!$N$6:$N$205,0),1)&amp;" · "&amp;INDEX(Tareas!$D$6:$D$205,MATCH(B$5&amp;"_"&amp;32,Tareas!$N$6:$N$205,0),1)&amp;CHAR(10)&amp;INDEX(Tareas!$C$6:$C$205,MATCH(B$5&amp;"_"&amp;32,Tareas!$N$6:$N$205,0),1)&amp;CHAR(10)&amp;INDEX(Tareas!$E$6:$E$205,MATCH(B$5&amp;"_"&amp;32,Tareas!$N$6:$N$205,0),1)&amp;CHAR(10)&amp;INDEX(Tareas!$O$6:$O$205,MATCH(B$5&amp;"_"&amp;32,Tareas!$N$6:$N$205,0),1))</x:f>
      </x:c>
      <x:c r="C37" s="21" t="str">
        <x:f>IF(32&gt;C$4,"",INDEX(Tareas!$A$6:$A$205,MATCH(C$5&amp;"_"&amp;32,Tareas!$N$6:$N$205,0),1)&amp;" · "&amp;INDEX(Tareas!$D$6:$D$205,MATCH(C$5&amp;"_"&amp;32,Tareas!$N$6:$N$205,0),1)&amp;CHAR(10)&amp;INDEX(Tareas!$C$6:$C$205,MATCH(C$5&amp;"_"&amp;32,Tareas!$N$6:$N$205,0),1)&amp;CHAR(10)&amp;INDEX(Tareas!$E$6:$E$205,MATCH(C$5&amp;"_"&amp;32,Tareas!$N$6:$N$205,0),1)&amp;CHAR(10)&amp;INDEX(Tareas!$O$6:$O$205,MATCH(C$5&amp;"_"&amp;32,Tareas!$N$6:$N$205,0),1))</x:f>
      </x:c>
      <x:c r="D37" s="21" t="str">
        <x:f>IF(32&gt;D$4,"",INDEX(Tareas!$A$6:$A$205,MATCH(D$5&amp;"_"&amp;32,Tareas!$N$6:$N$205,0),1)&amp;" · "&amp;INDEX(Tareas!$D$6:$D$205,MATCH(D$5&amp;"_"&amp;32,Tareas!$N$6:$N$205,0),1)&amp;CHAR(10)&amp;INDEX(Tareas!$C$6:$C$205,MATCH(D$5&amp;"_"&amp;32,Tareas!$N$6:$N$205,0),1)&amp;CHAR(10)&amp;INDEX(Tareas!$E$6:$E$205,MATCH(D$5&amp;"_"&amp;32,Tareas!$N$6:$N$205,0),1)&amp;CHAR(10)&amp;INDEX(Tareas!$O$6:$O$205,MATCH(D$5&amp;"_"&amp;32,Tareas!$N$6:$N$205,0),1))</x:f>
      </x:c>
      <x:c r="E37" s="21" t="str">
        <x:f>IF(32&gt;E$4,"",INDEX(Tareas!$A$6:$A$205,MATCH(E$5&amp;"_"&amp;32,Tareas!$N$6:$N$205,0),1)&amp;" · "&amp;INDEX(Tareas!$D$6:$D$205,MATCH(E$5&amp;"_"&amp;32,Tareas!$N$6:$N$205,0),1)&amp;CHAR(10)&amp;INDEX(Tareas!$C$6:$C$205,MATCH(E$5&amp;"_"&amp;32,Tareas!$N$6:$N$205,0),1)&amp;CHAR(10)&amp;INDEX(Tareas!$E$6:$E$205,MATCH(E$5&amp;"_"&amp;32,Tareas!$N$6:$N$205,0),1)&amp;CHAR(10)&amp;INDEX(Tareas!$O$6:$O$205,MATCH(E$5&amp;"_"&amp;32,Tareas!$N$6:$N$205,0),1))</x:f>
      </x:c>
      <x:c r="F37" s="21" t="str">
        <x:f>IF(32&gt;F$4,"",INDEX(Tareas!$A$6:$A$205,MATCH(F$5&amp;"_"&amp;32,Tareas!$N$6:$N$205,0),1)&amp;" · "&amp;INDEX(Tareas!$D$6:$D$205,MATCH(F$5&amp;"_"&amp;32,Tareas!$N$6:$N$205,0),1)&amp;CHAR(10)&amp;INDEX(Tareas!$C$6:$C$205,MATCH(F$5&amp;"_"&amp;32,Tareas!$N$6:$N$205,0),1)&amp;CHAR(10)&amp;INDEX(Tareas!$E$6:$E$205,MATCH(F$5&amp;"_"&amp;32,Tareas!$N$6:$N$205,0),1)&amp;CHAR(10)&amp;INDEX(Tareas!$O$6:$O$205,MATCH(F$5&amp;"_"&amp;32,Tareas!$N$6:$N$205,0),1))</x:f>
      </x:c>
    </x:row>
    <x:row r="38" ht="76" customHeight="1">
      <x:c r="A38" s="21" t="str">
        <x:f>IF(33&gt;A$4,"",INDEX(Tareas!$A$6:$A$205,MATCH(A$5&amp;"_"&amp;33,Tareas!$N$6:$N$205,0),1)&amp;" · "&amp;INDEX(Tareas!$D$6:$D$205,MATCH(A$5&amp;"_"&amp;33,Tareas!$N$6:$N$205,0),1)&amp;CHAR(10)&amp;INDEX(Tareas!$C$6:$C$205,MATCH(A$5&amp;"_"&amp;33,Tareas!$N$6:$N$205,0),1)&amp;CHAR(10)&amp;INDEX(Tareas!$E$6:$E$205,MATCH(A$5&amp;"_"&amp;33,Tareas!$N$6:$N$205,0),1)&amp;CHAR(10)&amp;INDEX(Tareas!$O$6:$O$205,MATCH(A$5&amp;"_"&amp;33,Tareas!$N$6:$N$205,0),1))</x:f>
      </x:c>
      <x:c r="B38" s="21" t="str">
        <x:f>IF(33&gt;B$4,"",INDEX(Tareas!$A$6:$A$205,MATCH(B$5&amp;"_"&amp;33,Tareas!$N$6:$N$205,0),1)&amp;" · "&amp;INDEX(Tareas!$D$6:$D$205,MATCH(B$5&amp;"_"&amp;33,Tareas!$N$6:$N$205,0),1)&amp;CHAR(10)&amp;INDEX(Tareas!$C$6:$C$205,MATCH(B$5&amp;"_"&amp;33,Tareas!$N$6:$N$205,0),1)&amp;CHAR(10)&amp;INDEX(Tareas!$E$6:$E$205,MATCH(B$5&amp;"_"&amp;33,Tareas!$N$6:$N$205,0),1)&amp;CHAR(10)&amp;INDEX(Tareas!$O$6:$O$205,MATCH(B$5&amp;"_"&amp;33,Tareas!$N$6:$N$205,0),1))</x:f>
      </x:c>
      <x:c r="C38" s="21" t="str">
        <x:f>IF(33&gt;C$4,"",INDEX(Tareas!$A$6:$A$205,MATCH(C$5&amp;"_"&amp;33,Tareas!$N$6:$N$205,0),1)&amp;" · "&amp;INDEX(Tareas!$D$6:$D$205,MATCH(C$5&amp;"_"&amp;33,Tareas!$N$6:$N$205,0),1)&amp;CHAR(10)&amp;INDEX(Tareas!$C$6:$C$205,MATCH(C$5&amp;"_"&amp;33,Tareas!$N$6:$N$205,0),1)&amp;CHAR(10)&amp;INDEX(Tareas!$E$6:$E$205,MATCH(C$5&amp;"_"&amp;33,Tareas!$N$6:$N$205,0),1)&amp;CHAR(10)&amp;INDEX(Tareas!$O$6:$O$205,MATCH(C$5&amp;"_"&amp;33,Tareas!$N$6:$N$205,0),1))</x:f>
      </x:c>
      <x:c r="D38" s="21" t="str">
        <x:f>IF(33&gt;D$4,"",INDEX(Tareas!$A$6:$A$205,MATCH(D$5&amp;"_"&amp;33,Tareas!$N$6:$N$205,0),1)&amp;" · "&amp;INDEX(Tareas!$D$6:$D$205,MATCH(D$5&amp;"_"&amp;33,Tareas!$N$6:$N$205,0),1)&amp;CHAR(10)&amp;INDEX(Tareas!$C$6:$C$205,MATCH(D$5&amp;"_"&amp;33,Tareas!$N$6:$N$205,0),1)&amp;CHAR(10)&amp;INDEX(Tareas!$E$6:$E$205,MATCH(D$5&amp;"_"&amp;33,Tareas!$N$6:$N$205,0),1)&amp;CHAR(10)&amp;INDEX(Tareas!$O$6:$O$205,MATCH(D$5&amp;"_"&amp;33,Tareas!$N$6:$N$205,0),1))</x:f>
      </x:c>
      <x:c r="E38" s="21" t="str">
        <x:f>IF(33&gt;E$4,"",INDEX(Tareas!$A$6:$A$205,MATCH(E$5&amp;"_"&amp;33,Tareas!$N$6:$N$205,0),1)&amp;" · "&amp;INDEX(Tareas!$D$6:$D$205,MATCH(E$5&amp;"_"&amp;33,Tareas!$N$6:$N$205,0),1)&amp;CHAR(10)&amp;INDEX(Tareas!$C$6:$C$205,MATCH(E$5&amp;"_"&amp;33,Tareas!$N$6:$N$205,0),1)&amp;CHAR(10)&amp;INDEX(Tareas!$E$6:$E$205,MATCH(E$5&amp;"_"&amp;33,Tareas!$N$6:$N$205,0),1)&amp;CHAR(10)&amp;INDEX(Tareas!$O$6:$O$205,MATCH(E$5&amp;"_"&amp;33,Tareas!$N$6:$N$205,0),1))</x:f>
      </x:c>
      <x:c r="F38" s="21" t="str">
        <x:f>IF(33&gt;F$4,"",INDEX(Tareas!$A$6:$A$205,MATCH(F$5&amp;"_"&amp;33,Tareas!$N$6:$N$205,0),1)&amp;" · "&amp;INDEX(Tareas!$D$6:$D$205,MATCH(F$5&amp;"_"&amp;33,Tareas!$N$6:$N$205,0),1)&amp;CHAR(10)&amp;INDEX(Tareas!$C$6:$C$205,MATCH(F$5&amp;"_"&amp;33,Tareas!$N$6:$N$205,0),1)&amp;CHAR(10)&amp;INDEX(Tareas!$E$6:$E$205,MATCH(F$5&amp;"_"&amp;33,Tareas!$N$6:$N$205,0),1)&amp;CHAR(10)&amp;INDEX(Tareas!$O$6:$O$205,MATCH(F$5&amp;"_"&amp;33,Tareas!$N$6:$N$205,0),1))</x:f>
      </x:c>
    </x:row>
    <x:row r="39" ht="76" customHeight="1">
      <x:c r="A39" s="21" t="str">
        <x:f>IF(34&gt;A$4,"",INDEX(Tareas!$A$6:$A$205,MATCH(A$5&amp;"_"&amp;34,Tareas!$N$6:$N$205,0),1)&amp;" · "&amp;INDEX(Tareas!$D$6:$D$205,MATCH(A$5&amp;"_"&amp;34,Tareas!$N$6:$N$205,0),1)&amp;CHAR(10)&amp;INDEX(Tareas!$C$6:$C$205,MATCH(A$5&amp;"_"&amp;34,Tareas!$N$6:$N$205,0),1)&amp;CHAR(10)&amp;INDEX(Tareas!$E$6:$E$205,MATCH(A$5&amp;"_"&amp;34,Tareas!$N$6:$N$205,0),1)&amp;CHAR(10)&amp;INDEX(Tareas!$O$6:$O$205,MATCH(A$5&amp;"_"&amp;34,Tareas!$N$6:$N$205,0),1))</x:f>
      </x:c>
      <x:c r="B39" s="21" t="str">
        <x:f>IF(34&gt;B$4,"",INDEX(Tareas!$A$6:$A$205,MATCH(B$5&amp;"_"&amp;34,Tareas!$N$6:$N$205,0),1)&amp;" · "&amp;INDEX(Tareas!$D$6:$D$205,MATCH(B$5&amp;"_"&amp;34,Tareas!$N$6:$N$205,0),1)&amp;CHAR(10)&amp;INDEX(Tareas!$C$6:$C$205,MATCH(B$5&amp;"_"&amp;34,Tareas!$N$6:$N$205,0),1)&amp;CHAR(10)&amp;INDEX(Tareas!$E$6:$E$205,MATCH(B$5&amp;"_"&amp;34,Tareas!$N$6:$N$205,0),1)&amp;CHAR(10)&amp;INDEX(Tareas!$O$6:$O$205,MATCH(B$5&amp;"_"&amp;34,Tareas!$N$6:$N$205,0),1))</x:f>
      </x:c>
      <x:c r="C39" s="21" t="str">
        <x:f>IF(34&gt;C$4,"",INDEX(Tareas!$A$6:$A$205,MATCH(C$5&amp;"_"&amp;34,Tareas!$N$6:$N$205,0),1)&amp;" · "&amp;INDEX(Tareas!$D$6:$D$205,MATCH(C$5&amp;"_"&amp;34,Tareas!$N$6:$N$205,0),1)&amp;CHAR(10)&amp;INDEX(Tareas!$C$6:$C$205,MATCH(C$5&amp;"_"&amp;34,Tareas!$N$6:$N$205,0),1)&amp;CHAR(10)&amp;INDEX(Tareas!$E$6:$E$205,MATCH(C$5&amp;"_"&amp;34,Tareas!$N$6:$N$205,0),1)&amp;CHAR(10)&amp;INDEX(Tareas!$O$6:$O$205,MATCH(C$5&amp;"_"&amp;34,Tareas!$N$6:$N$205,0),1))</x:f>
      </x:c>
      <x:c r="D39" s="21" t="str">
        <x:f>IF(34&gt;D$4,"",INDEX(Tareas!$A$6:$A$205,MATCH(D$5&amp;"_"&amp;34,Tareas!$N$6:$N$205,0),1)&amp;" · "&amp;INDEX(Tareas!$D$6:$D$205,MATCH(D$5&amp;"_"&amp;34,Tareas!$N$6:$N$205,0),1)&amp;CHAR(10)&amp;INDEX(Tareas!$C$6:$C$205,MATCH(D$5&amp;"_"&amp;34,Tareas!$N$6:$N$205,0),1)&amp;CHAR(10)&amp;INDEX(Tareas!$E$6:$E$205,MATCH(D$5&amp;"_"&amp;34,Tareas!$N$6:$N$205,0),1)&amp;CHAR(10)&amp;INDEX(Tareas!$O$6:$O$205,MATCH(D$5&amp;"_"&amp;34,Tareas!$N$6:$N$205,0),1))</x:f>
      </x:c>
      <x:c r="E39" s="21" t="str">
        <x:f>IF(34&gt;E$4,"",INDEX(Tareas!$A$6:$A$205,MATCH(E$5&amp;"_"&amp;34,Tareas!$N$6:$N$205,0),1)&amp;" · "&amp;INDEX(Tareas!$D$6:$D$205,MATCH(E$5&amp;"_"&amp;34,Tareas!$N$6:$N$205,0),1)&amp;CHAR(10)&amp;INDEX(Tareas!$C$6:$C$205,MATCH(E$5&amp;"_"&amp;34,Tareas!$N$6:$N$205,0),1)&amp;CHAR(10)&amp;INDEX(Tareas!$E$6:$E$205,MATCH(E$5&amp;"_"&amp;34,Tareas!$N$6:$N$205,0),1)&amp;CHAR(10)&amp;INDEX(Tareas!$O$6:$O$205,MATCH(E$5&amp;"_"&amp;34,Tareas!$N$6:$N$205,0),1))</x:f>
      </x:c>
      <x:c r="F39" s="21" t="str">
        <x:f>IF(34&gt;F$4,"",INDEX(Tareas!$A$6:$A$205,MATCH(F$5&amp;"_"&amp;34,Tareas!$N$6:$N$205,0),1)&amp;" · "&amp;INDEX(Tareas!$D$6:$D$205,MATCH(F$5&amp;"_"&amp;34,Tareas!$N$6:$N$205,0),1)&amp;CHAR(10)&amp;INDEX(Tareas!$C$6:$C$205,MATCH(F$5&amp;"_"&amp;34,Tareas!$N$6:$N$205,0),1)&amp;CHAR(10)&amp;INDEX(Tareas!$E$6:$E$205,MATCH(F$5&amp;"_"&amp;34,Tareas!$N$6:$N$205,0),1)&amp;CHAR(10)&amp;INDEX(Tareas!$O$6:$O$205,MATCH(F$5&amp;"_"&amp;34,Tareas!$N$6:$N$205,0),1))</x:f>
      </x:c>
    </x:row>
    <x:row r="40" ht="76" customHeight="1">
      <x:c r="A40" s="21" t="str">
        <x:f>IF(35&gt;A$4,"",INDEX(Tareas!$A$6:$A$205,MATCH(A$5&amp;"_"&amp;35,Tareas!$N$6:$N$205,0),1)&amp;" · "&amp;INDEX(Tareas!$D$6:$D$205,MATCH(A$5&amp;"_"&amp;35,Tareas!$N$6:$N$205,0),1)&amp;CHAR(10)&amp;INDEX(Tareas!$C$6:$C$205,MATCH(A$5&amp;"_"&amp;35,Tareas!$N$6:$N$205,0),1)&amp;CHAR(10)&amp;INDEX(Tareas!$E$6:$E$205,MATCH(A$5&amp;"_"&amp;35,Tareas!$N$6:$N$205,0),1)&amp;CHAR(10)&amp;INDEX(Tareas!$O$6:$O$205,MATCH(A$5&amp;"_"&amp;35,Tareas!$N$6:$N$205,0),1))</x:f>
      </x:c>
      <x:c r="B40" s="21" t="str">
        <x:f>IF(35&gt;B$4,"",INDEX(Tareas!$A$6:$A$205,MATCH(B$5&amp;"_"&amp;35,Tareas!$N$6:$N$205,0),1)&amp;" · "&amp;INDEX(Tareas!$D$6:$D$205,MATCH(B$5&amp;"_"&amp;35,Tareas!$N$6:$N$205,0),1)&amp;CHAR(10)&amp;INDEX(Tareas!$C$6:$C$205,MATCH(B$5&amp;"_"&amp;35,Tareas!$N$6:$N$205,0),1)&amp;CHAR(10)&amp;INDEX(Tareas!$E$6:$E$205,MATCH(B$5&amp;"_"&amp;35,Tareas!$N$6:$N$205,0),1)&amp;CHAR(10)&amp;INDEX(Tareas!$O$6:$O$205,MATCH(B$5&amp;"_"&amp;35,Tareas!$N$6:$N$205,0),1))</x:f>
      </x:c>
      <x:c r="C40" s="21" t="str">
        <x:f>IF(35&gt;C$4,"",INDEX(Tareas!$A$6:$A$205,MATCH(C$5&amp;"_"&amp;35,Tareas!$N$6:$N$205,0),1)&amp;" · "&amp;INDEX(Tareas!$D$6:$D$205,MATCH(C$5&amp;"_"&amp;35,Tareas!$N$6:$N$205,0),1)&amp;CHAR(10)&amp;INDEX(Tareas!$C$6:$C$205,MATCH(C$5&amp;"_"&amp;35,Tareas!$N$6:$N$205,0),1)&amp;CHAR(10)&amp;INDEX(Tareas!$E$6:$E$205,MATCH(C$5&amp;"_"&amp;35,Tareas!$N$6:$N$205,0),1)&amp;CHAR(10)&amp;INDEX(Tareas!$O$6:$O$205,MATCH(C$5&amp;"_"&amp;35,Tareas!$N$6:$N$205,0),1))</x:f>
      </x:c>
      <x:c r="D40" s="21" t="str">
        <x:f>IF(35&gt;D$4,"",INDEX(Tareas!$A$6:$A$205,MATCH(D$5&amp;"_"&amp;35,Tareas!$N$6:$N$205,0),1)&amp;" · "&amp;INDEX(Tareas!$D$6:$D$205,MATCH(D$5&amp;"_"&amp;35,Tareas!$N$6:$N$205,0),1)&amp;CHAR(10)&amp;INDEX(Tareas!$C$6:$C$205,MATCH(D$5&amp;"_"&amp;35,Tareas!$N$6:$N$205,0),1)&amp;CHAR(10)&amp;INDEX(Tareas!$E$6:$E$205,MATCH(D$5&amp;"_"&amp;35,Tareas!$N$6:$N$205,0),1)&amp;CHAR(10)&amp;INDEX(Tareas!$O$6:$O$205,MATCH(D$5&amp;"_"&amp;35,Tareas!$N$6:$N$205,0),1))</x:f>
      </x:c>
      <x:c r="E40" s="21" t="str">
        <x:f>IF(35&gt;E$4,"",INDEX(Tareas!$A$6:$A$205,MATCH(E$5&amp;"_"&amp;35,Tareas!$N$6:$N$205,0),1)&amp;" · "&amp;INDEX(Tareas!$D$6:$D$205,MATCH(E$5&amp;"_"&amp;35,Tareas!$N$6:$N$205,0),1)&amp;CHAR(10)&amp;INDEX(Tareas!$C$6:$C$205,MATCH(E$5&amp;"_"&amp;35,Tareas!$N$6:$N$205,0),1)&amp;CHAR(10)&amp;INDEX(Tareas!$E$6:$E$205,MATCH(E$5&amp;"_"&amp;35,Tareas!$N$6:$N$205,0),1)&amp;CHAR(10)&amp;INDEX(Tareas!$O$6:$O$205,MATCH(E$5&amp;"_"&amp;35,Tareas!$N$6:$N$205,0),1))</x:f>
      </x:c>
      <x:c r="F40" s="21" t="str">
        <x:f>IF(35&gt;F$4,"",INDEX(Tareas!$A$6:$A$205,MATCH(F$5&amp;"_"&amp;35,Tareas!$N$6:$N$205,0),1)&amp;" · "&amp;INDEX(Tareas!$D$6:$D$205,MATCH(F$5&amp;"_"&amp;35,Tareas!$N$6:$N$205,0),1)&amp;CHAR(10)&amp;INDEX(Tareas!$C$6:$C$205,MATCH(F$5&amp;"_"&amp;35,Tareas!$N$6:$N$205,0),1)&amp;CHAR(10)&amp;INDEX(Tareas!$E$6:$E$205,MATCH(F$5&amp;"_"&amp;35,Tareas!$N$6:$N$205,0),1)&amp;CHAR(10)&amp;INDEX(Tareas!$O$6:$O$205,MATCH(F$5&amp;"_"&amp;35,Tareas!$N$6:$N$205,0),1))</x:f>
      </x:c>
    </x:row>
    <x:row r="41" ht="76" customHeight="1">
      <x:c r="A41" s="21" t="str">
        <x:f>IF(36&gt;A$4,"",INDEX(Tareas!$A$6:$A$205,MATCH(A$5&amp;"_"&amp;36,Tareas!$N$6:$N$205,0),1)&amp;" · "&amp;INDEX(Tareas!$D$6:$D$205,MATCH(A$5&amp;"_"&amp;36,Tareas!$N$6:$N$205,0),1)&amp;CHAR(10)&amp;INDEX(Tareas!$C$6:$C$205,MATCH(A$5&amp;"_"&amp;36,Tareas!$N$6:$N$205,0),1)&amp;CHAR(10)&amp;INDEX(Tareas!$E$6:$E$205,MATCH(A$5&amp;"_"&amp;36,Tareas!$N$6:$N$205,0),1)&amp;CHAR(10)&amp;INDEX(Tareas!$O$6:$O$205,MATCH(A$5&amp;"_"&amp;36,Tareas!$N$6:$N$205,0),1))</x:f>
      </x:c>
      <x:c r="B41" s="21" t="str">
        <x:f>IF(36&gt;B$4,"",INDEX(Tareas!$A$6:$A$205,MATCH(B$5&amp;"_"&amp;36,Tareas!$N$6:$N$205,0),1)&amp;" · "&amp;INDEX(Tareas!$D$6:$D$205,MATCH(B$5&amp;"_"&amp;36,Tareas!$N$6:$N$205,0),1)&amp;CHAR(10)&amp;INDEX(Tareas!$C$6:$C$205,MATCH(B$5&amp;"_"&amp;36,Tareas!$N$6:$N$205,0),1)&amp;CHAR(10)&amp;INDEX(Tareas!$E$6:$E$205,MATCH(B$5&amp;"_"&amp;36,Tareas!$N$6:$N$205,0),1)&amp;CHAR(10)&amp;INDEX(Tareas!$O$6:$O$205,MATCH(B$5&amp;"_"&amp;36,Tareas!$N$6:$N$205,0),1))</x:f>
      </x:c>
      <x:c r="C41" s="21" t="str">
        <x:f>IF(36&gt;C$4,"",INDEX(Tareas!$A$6:$A$205,MATCH(C$5&amp;"_"&amp;36,Tareas!$N$6:$N$205,0),1)&amp;" · "&amp;INDEX(Tareas!$D$6:$D$205,MATCH(C$5&amp;"_"&amp;36,Tareas!$N$6:$N$205,0),1)&amp;CHAR(10)&amp;INDEX(Tareas!$C$6:$C$205,MATCH(C$5&amp;"_"&amp;36,Tareas!$N$6:$N$205,0),1)&amp;CHAR(10)&amp;INDEX(Tareas!$E$6:$E$205,MATCH(C$5&amp;"_"&amp;36,Tareas!$N$6:$N$205,0),1)&amp;CHAR(10)&amp;INDEX(Tareas!$O$6:$O$205,MATCH(C$5&amp;"_"&amp;36,Tareas!$N$6:$N$205,0),1))</x:f>
      </x:c>
      <x:c r="D41" s="21" t="str">
        <x:f>IF(36&gt;D$4,"",INDEX(Tareas!$A$6:$A$205,MATCH(D$5&amp;"_"&amp;36,Tareas!$N$6:$N$205,0),1)&amp;" · "&amp;INDEX(Tareas!$D$6:$D$205,MATCH(D$5&amp;"_"&amp;36,Tareas!$N$6:$N$205,0),1)&amp;CHAR(10)&amp;INDEX(Tareas!$C$6:$C$205,MATCH(D$5&amp;"_"&amp;36,Tareas!$N$6:$N$205,0),1)&amp;CHAR(10)&amp;INDEX(Tareas!$E$6:$E$205,MATCH(D$5&amp;"_"&amp;36,Tareas!$N$6:$N$205,0),1)&amp;CHAR(10)&amp;INDEX(Tareas!$O$6:$O$205,MATCH(D$5&amp;"_"&amp;36,Tareas!$N$6:$N$205,0),1))</x:f>
      </x:c>
      <x:c r="E41" s="21" t="str">
        <x:f>IF(36&gt;E$4,"",INDEX(Tareas!$A$6:$A$205,MATCH(E$5&amp;"_"&amp;36,Tareas!$N$6:$N$205,0),1)&amp;" · "&amp;INDEX(Tareas!$D$6:$D$205,MATCH(E$5&amp;"_"&amp;36,Tareas!$N$6:$N$205,0),1)&amp;CHAR(10)&amp;INDEX(Tareas!$C$6:$C$205,MATCH(E$5&amp;"_"&amp;36,Tareas!$N$6:$N$205,0),1)&amp;CHAR(10)&amp;INDEX(Tareas!$E$6:$E$205,MATCH(E$5&amp;"_"&amp;36,Tareas!$N$6:$N$205,0),1)&amp;CHAR(10)&amp;INDEX(Tareas!$O$6:$O$205,MATCH(E$5&amp;"_"&amp;36,Tareas!$N$6:$N$205,0),1))</x:f>
      </x:c>
      <x:c r="F41" s="21" t="str">
        <x:f>IF(36&gt;F$4,"",INDEX(Tareas!$A$6:$A$205,MATCH(F$5&amp;"_"&amp;36,Tareas!$N$6:$N$205,0),1)&amp;" · "&amp;INDEX(Tareas!$D$6:$D$205,MATCH(F$5&amp;"_"&amp;36,Tareas!$N$6:$N$205,0),1)&amp;CHAR(10)&amp;INDEX(Tareas!$C$6:$C$205,MATCH(F$5&amp;"_"&amp;36,Tareas!$N$6:$N$205,0),1)&amp;CHAR(10)&amp;INDEX(Tareas!$E$6:$E$205,MATCH(F$5&amp;"_"&amp;36,Tareas!$N$6:$N$205,0),1)&amp;CHAR(10)&amp;INDEX(Tareas!$O$6:$O$205,MATCH(F$5&amp;"_"&amp;36,Tareas!$N$6:$N$205,0),1))</x:f>
      </x:c>
    </x:row>
    <x:row r="42" ht="76" customHeight="1">
      <x:c r="A42" s="21" t="str">
        <x:f>IF(37&gt;A$4,"",INDEX(Tareas!$A$6:$A$205,MATCH(A$5&amp;"_"&amp;37,Tareas!$N$6:$N$205,0),1)&amp;" · "&amp;INDEX(Tareas!$D$6:$D$205,MATCH(A$5&amp;"_"&amp;37,Tareas!$N$6:$N$205,0),1)&amp;CHAR(10)&amp;INDEX(Tareas!$C$6:$C$205,MATCH(A$5&amp;"_"&amp;37,Tareas!$N$6:$N$205,0),1)&amp;CHAR(10)&amp;INDEX(Tareas!$E$6:$E$205,MATCH(A$5&amp;"_"&amp;37,Tareas!$N$6:$N$205,0),1)&amp;CHAR(10)&amp;INDEX(Tareas!$O$6:$O$205,MATCH(A$5&amp;"_"&amp;37,Tareas!$N$6:$N$205,0),1))</x:f>
      </x:c>
      <x:c r="B42" s="21" t="str">
        <x:f>IF(37&gt;B$4,"",INDEX(Tareas!$A$6:$A$205,MATCH(B$5&amp;"_"&amp;37,Tareas!$N$6:$N$205,0),1)&amp;" · "&amp;INDEX(Tareas!$D$6:$D$205,MATCH(B$5&amp;"_"&amp;37,Tareas!$N$6:$N$205,0),1)&amp;CHAR(10)&amp;INDEX(Tareas!$C$6:$C$205,MATCH(B$5&amp;"_"&amp;37,Tareas!$N$6:$N$205,0),1)&amp;CHAR(10)&amp;INDEX(Tareas!$E$6:$E$205,MATCH(B$5&amp;"_"&amp;37,Tareas!$N$6:$N$205,0),1)&amp;CHAR(10)&amp;INDEX(Tareas!$O$6:$O$205,MATCH(B$5&amp;"_"&amp;37,Tareas!$N$6:$N$205,0),1))</x:f>
      </x:c>
      <x:c r="C42" s="21" t="str">
        <x:f>IF(37&gt;C$4,"",INDEX(Tareas!$A$6:$A$205,MATCH(C$5&amp;"_"&amp;37,Tareas!$N$6:$N$205,0),1)&amp;" · "&amp;INDEX(Tareas!$D$6:$D$205,MATCH(C$5&amp;"_"&amp;37,Tareas!$N$6:$N$205,0),1)&amp;CHAR(10)&amp;INDEX(Tareas!$C$6:$C$205,MATCH(C$5&amp;"_"&amp;37,Tareas!$N$6:$N$205,0),1)&amp;CHAR(10)&amp;INDEX(Tareas!$E$6:$E$205,MATCH(C$5&amp;"_"&amp;37,Tareas!$N$6:$N$205,0),1)&amp;CHAR(10)&amp;INDEX(Tareas!$O$6:$O$205,MATCH(C$5&amp;"_"&amp;37,Tareas!$N$6:$N$205,0),1))</x:f>
      </x:c>
      <x:c r="D42" s="21" t="str">
        <x:f>IF(37&gt;D$4,"",INDEX(Tareas!$A$6:$A$205,MATCH(D$5&amp;"_"&amp;37,Tareas!$N$6:$N$205,0),1)&amp;" · "&amp;INDEX(Tareas!$D$6:$D$205,MATCH(D$5&amp;"_"&amp;37,Tareas!$N$6:$N$205,0),1)&amp;CHAR(10)&amp;INDEX(Tareas!$C$6:$C$205,MATCH(D$5&amp;"_"&amp;37,Tareas!$N$6:$N$205,0),1)&amp;CHAR(10)&amp;INDEX(Tareas!$E$6:$E$205,MATCH(D$5&amp;"_"&amp;37,Tareas!$N$6:$N$205,0),1)&amp;CHAR(10)&amp;INDEX(Tareas!$O$6:$O$205,MATCH(D$5&amp;"_"&amp;37,Tareas!$N$6:$N$205,0),1))</x:f>
      </x:c>
      <x:c r="E42" s="21" t="str">
        <x:f>IF(37&gt;E$4,"",INDEX(Tareas!$A$6:$A$205,MATCH(E$5&amp;"_"&amp;37,Tareas!$N$6:$N$205,0),1)&amp;" · "&amp;INDEX(Tareas!$D$6:$D$205,MATCH(E$5&amp;"_"&amp;37,Tareas!$N$6:$N$205,0),1)&amp;CHAR(10)&amp;INDEX(Tareas!$C$6:$C$205,MATCH(E$5&amp;"_"&amp;37,Tareas!$N$6:$N$205,0),1)&amp;CHAR(10)&amp;INDEX(Tareas!$E$6:$E$205,MATCH(E$5&amp;"_"&amp;37,Tareas!$N$6:$N$205,0),1)&amp;CHAR(10)&amp;INDEX(Tareas!$O$6:$O$205,MATCH(E$5&amp;"_"&amp;37,Tareas!$N$6:$N$205,0),1))</x:f>
      </x:c>
      <x:c r="F42" s="21" t="str">
        <x:f>IF(37&gt;F$4,"",INDEX(Tareas!$A$6:$A$205,MATCH(F$5&amp;"_"&amp;37,Tareas!$N$6:$N$205,0),1)&amp;" · "&amp;INDEX(Tareas!$D$6:$D$205,MATCH(F$5&amp;"_"&amp;37,Tareas!$N$6:$N$205,0),1)&amp;CHAR(10)&amp;INDEX(Tareas!$C$6:$C$205,MATCH(F$5&amp;"_"&amp;37,Tareas!$N$6:$N$205,0),1)&amp;CHAR(10)&amp;INDEX(Tareas!$E$6:$E$205,MATCH(F$5&amp;"_"&amp;37,Tareas!$N$6:$N$205,0),1)&amp;CHAR(10)&amp;INDEX(Tareas!$O$6:$O$205,MATCH(F$5&amp;"_"&amp;37,Tareas!$N$6:$N$205,0),1))</x:f>
      </x:c>
    </x:row>
    <x:row r="43" ht="76" customHeight="1">
      <x:c r="A43" s="21" t="str">
        <x:f>IF(38&gt;A$4,"",INDEX(Tareas!$A$6:$A$205,MATCH(A$5&amp;"_"&amp;38,Tareas!$N$6:$N$205,0),1)&amp;" · "&amp;INDEX(Tareas!$D$6:$D$205,MATCH(A$5&amp;"_"&amp;38,Tareas!$N$6:$N$205,0),1)&amp;CHAR(10)&amp;INDEX(Tareas!$C$6:$C$205,MATCH(A$5&amp;"_"&amp;38,Tareas!$N$6:$N$205,0),1)&amp;CHAR(10)&amp;INDEX(Tareas!$E$6:$E$205,MATCH(A$5&amp;"_"&amp;38,Tareas!$N$6:$N$205,0),1)&amp;CHAR(10)&amp;INDEX(Tareas!$O$6:$O$205,MATCH(A$5&amp;"_"&amp;38,Tareas!$N$6:$N$205,0),1))</x:f>
      </x:c>
      <x:c r="B43" s="21" t="str">
        <x:f>IF(38&gt;B$4,"",INDEX(Tareas!$A$6:$A$205,MATCH(B$5&amp;"_"&amp;38,Tareas!$N$6:$N$205,0),1)&amp;" · "&amp;INDEX(Tareas!$D$6:$D$205,MATCH(B$5&amp;"_"&amp;38,Tareas!$N$6:$N$205,0),1)&amp;CHAR(10)&amp;INDEX(Tareas!$C$6:$C$205,MATCH(B$5&amp;"_"&amp;38,Tareas!$N$6:$N$205,0),1)&amp;CHAR(10)&amp;INDEX(Tareas!$E$6:$E$205,MATCH(B$5&amp;"_"&amp;38,Tareas!$N$6:$N$205,0),1)&amp;CHAR(10)&amp;INDEX(Tareas!$O$6:$O$205,MATCH(B$5&amp;"_"&amp;38,Tareas!$N$6:$N$205,0),1))</x:f>
      </x:c>
      <x:c r="C43" s="21" t="str">
        <x:f>IF(38&gt;C$4,"",INDEX(Tareas!$A$6:$A$205,MATCH(C$5&amp;"_"&amp;38,Tareas!$N$6:$N$205,0),1)&amp;" · "&amp;INDEX(Tareas!$D$6:$D$205,MATCH(C$5&amp;"_"&amp;38,Tareas!$N$6:$N$205,0),1)&amp;CHAR(10)&amp;INDEX(Tareas!$C$6:$C$205,MATCH(C$5&amp;"_"&amp;38,Tareas!$N$6:$N$205,0),1)&amp;CHAR(10)&amp;INDEX(Tareas!$E$6:$E$205,MATCH(C$5&amp;"_"&amp;38,Tareas!$N$6:$N$205,0),1)&amp;CHAR(10)&amp;INDEX(Tareas!$O$6:$O$205,MATCH(C$5&amp;"_"&amp;38,Tareas!$N$6:$N$205,0),1))</x:f>
      </x:c>
      <x:c r="D43" s="21" t="str">
        <x:f>IF(38&gt;D$4,"",INDEX(Tareas!$A$6:$A$205,MATCH(D$5&amp;"_"&amp;38,Tareas!$N$6:$N$205,0),1)&amp;" · "&amp;INDEX(Tareas!$D$6:$D$205,MATCH(D$5&amp;"_"&amp;38,Tareas!$N$6:$N$205,0),1)&amp;CHAR(10)&amp;INDEX(Tareas!$C$6:$C$205,MATCH(D$5&amp;"_"&amp;38,Tareas!$N$6:$N$205,0),1)&amp;CHAR(10)&amp;INDEX(Tareas!$E$6:$E$205,MATCH(D$5&amp;"_"&amp;38,Tareas!$N$6:$N$205,0),1)&amp;CHAR(10)&amp;INDEX(Tareas!$O$6:$O$205,MATCH(D$5&amp;"_"&amp;38,Tareas!$N$6:$N$205,0),1))</x:f>
      </x:c>
      <x:c r="E43" s="21" t="str">
        <x:f>IF(38&gt;E$4,"",INDEX(Tareas!$A$6:$A$205,MATCH(E$5&amp;"_"&amp;38,Tareas!$N$6:$N$205,0),1)&amp;" · "&amp;INDEX(Tareas!$D$6:$D$205,MATCH(E$5&amp;"_"&amp;38,Tareas!$N$6:$N$205,0),1)&amp;CHAR(10)&amp;INDEX(Tareas!$C$6:$C$205,MATCH(E$5&amp;"_"&amp;38,Tareas!$N$6:$N$205,0),1)&amp;CHAR(10)&amp;INDEX(Tareas!$E$6:$E$205,MATCH(E$5&amp;"_"&amp;38,Tareas!$N$6:$N$205,0),1)&amp;CHAR(10)&amp;INDEX(Tareas!$O$6:$O$205,MATCH(E$5&amp;"_"&amp;38,Tareas!$N$6:$N$205,0),1))</x:f>
      </x:c>
      <x:c r="F43" s="21" t="str">
        <x:f>IF(38&gt;F$4,"",INDEX(Tareas!$A$6:$A$205,MATCH(F$5&amp;"_"&amp;38,Tareas!$N$6:$N$205,0),1)&amp;" · "&amp;INDEX(Tareas!$D$6:$D$205,MATCH(F$5&amp;"_"&amp;38,Tareas!$N$6:$N$205,0),1)&amp;CHAR(10)&amp;INDEX(Tareas!$C$6:$C$205,MATCH(F$5&amp;"_"&amp;38,Tareas!$N$6:$N$205,0),1)&amp;CHAR(10)&amp;INDEX(Tareas!$E$6:$E$205,MATCH(F$5&amp;"_"&amp;38,Tareas!$N$6:$N$205,0),1)&amp;CHAR(10)&amp;INDEX(Tareas!$O$6:$O$205,MATCH(F$5&amp;"_"&amp;38,Tareas!$N$6:$N$205,0),1))</x:f>
      </x:c>
    </x:row>
    <x:row r="44" ht="76" customHeight="1">
      <x:c r="A44" s="21" t="str">
        <x:f>IF(39&gt;A$4,"",INDEX(Tareas!$A$6:$A$205,MATCH(A$5&amp;"_"&amp;39,Tareas!$N$6:$N$205,0),1)&amp;" · "&amp;INDEX(Tareas!$D$6:$D$205,MATCH(A$5&amp;"_"&amp;39,Tareas!$N$6:$N$205,0),1)&amp;CHAR(10)&amp;INDEX(Tareas!$C$6:$C$205,MATCH(A$5&amp;"_"&amp;39,Tareas!$N$6:$N$205,0),1)&amp;CHAR(10)&amp;INDEX(Tareas!$E$6:$E$205,MATCH(A$5&amp;"_"&amp;39,Tareas!$N$6:$N$205,0),1)&amp;CHAR(10)&amp;INDEX(Tareas!$O$6:$O$205,MATCH(A$5&amp;"_"&amp;39,Tareas!$N$6:$N$205,0),1))</x:f>
      </x:c>
      <x:c r="B44" s="21" t="str">
        <x:f>IF(39&gt;B$4,"",INDEX(Tareas!$A$6:$A$205,MATCH(B$5&amp;"_"&amp;39,Tareas!$N$6:$N$205,0),1)&amp;" · "&amp;INDEX(Tareas!$D$6:$D$205,MATCH(B$5&amp;"_"&amp;39,Tareas!$N$6:$N$205,0),1)&amp;CHAR(10)&amp;INDEX(Tareas!$C$6:$C$205,MATCH(B$5&amp;"_"&amp;39,Tareas!$N$6:$N$205,0),1)&amp;CHAR(10)&amp;INDEX(Tareas!$E$6:$E$205,MATCH(B$5&amp;"_"&amp;39,Tareas!$N$6:$N$205,0),1)&amp;CHAR(10)&amp;INDEX(Tareas!$O$6:$O$205,MATCH(B$5&amp;"_"&amp;39,Tareas!$N$6:$N$205,0),1))</x:f>
      </x:c>
      <x:c r="C44" s="21" t="str">
        <x:f>IF(39&gt;C$4,"",INDEX(Tareas!$A$6:$A$205,MATCH(C$5&amp;"_"&amp;39,Tareas!$N$6:$N$205,0),1)&amp;" · "&amp;INDEX(Tareas!$D$6:$D$205,MATCH(C$5&amp;"_"&amp;39,Tareas!$N$6:$N$205,0),1)&amp;CHAR(10)&amp;INDEX(Tareas!$C$6:$C$205,MATCH(C$5&amp;"_"&amp;39,Tareas!$N$6:$N$205,0),1)&amp;CHAR(10)&amp;INDEX(Tareas!$E$6:$E$205,MATCH(C$5&amp;"_"&amp;39,Tareas!$N$6:$N$205,0),1)&amp;CHAR(10)&amp;INDEX(Tareas!$O$6:$O$205,MATCH(C$5&amp;"_"&amp;39,Tareas!$N$6:$N$205,0),1))</x:f>
      </x:c>
      <x:c r="D44" s="21" t="str">
        <x:f>IF(39&gt;D$4,"",INDEX(Tareas!$A$6:$A$205,MATCH(D$5&amp;"_"&amp;39,Tareas!$N$6:$N$205,0),1)&amp;" · "&amp;INDEX(Tareas!$D$6:$D$205,MATCH(D$5&amp;"_"&amp;39,Tareas!$N$6:$N$205,0),1)&amp;CHAR(10)&amp;INDEX(Tareas!$C$6:$C$205,MATCH(D$5&amp;"_"&amp;39,Tareas!$N$6:$N$205,0),1)&amp;CHAR(10)&amp;INDEX(Tareas!$E$6:$E$205,MATCH(D$5&amp;"_"&amp;39,Tareas!$N$6:$N$205,0),1)&amp;CHAR(10)&amp;INDEX(Tareas!$O$6:$O$205,MATCH(D$5&amp;"_"&amp;39,Tareas!$N$6:$N$205,0),1))</x:f>
      </x:c>
      <x:c r="E44" s="21" t="str">
        <x:f>IF(39&gt;E$4,"",INDEX(Tareas!$A$6:$A$205,MATCH(E$5&amp;"_"&amp;39,Tareas!$N$6:$N$205,0),1)&amp;" · "&amp;INDEX(Tareas!$D$6:$D$205,MATCH(E$5&amp;"_"&amp;39,Tareas!$N$6:$N$205,0),1)&amp;CHAR(10)&amp;INDEX(Tareas!$C$6:$C$205,MATCH(E$5&amp;"_"&amp;39,Tareas!$N$6:$N$205,0),1)&amp;CHAR(10)&amp;INDEX(Tareas!$E$6:$E$205,MATCH(E$5&amp;"_"&amp;39,Tareas!$N$6:$N$205,0),1)&amp;CHAR(10)&amp;INDEX(Tareas!$O$6:$O$205,MATCH(E$5&amp;"_"&amp;39,Tareas!$N$6:$N$205,0),1))</x:f>
      </x:c>
      <x:c r="F44" s="21" t="str">
        <x:f>IF(39&gt;F$4,"",INDEX(Tareas!$A$6:$A$205,MATCH(F$5&amp;"_"&amp;39,Tareas!$N$6:$N$205,0),1)&amp;" · "&amp;INDEX(Tareas!$D$6:$D$205,MATCH(F$5&amp;"_"&amp;39,Tareas!$N$6:$N$205,0),1)&amp;CHAR(10)&amp;INDEX(Tareas!$C$6:$C$205,MATCH(F$5&amp;"_"&amp;39,Tareas!$N$6:$N$205,0),1)&amp;CHAR(10)&amp;INDEX(Tareas!$E$6:$E$205,MATCH(F$5&amp;"_"&amp;39,Tareas!$N$6:$N$205,0),1)&amp;CHAR(10)&amp;INDEX(Tareas!$O$6:$O$205,MATCH(F$5&amp;"_"&amp;39,Tareas!$N$6:$N$205,0),1))</x:f>
      </x:c>
    </x:row>
    <x:row r="45" ht="76" customHeight="1">
      <x:c r="A45" s="21" t="str">
        <x:f>IF(40&gt;A$4,"",INDEX(Tareas!$A$6:$A$205,MATCH(A$5&amp;"_"&amp;40,Tareas!$N$6:$N$205,0),1)&amp;" · "&amp;INDEX(Tareas!$D$6:$D$205,MATCH(A$5&amp;"_"&amp;40,Tareas!$N$6:$N$205,0),1)&amp;CHAR(10)&amp;INDEX(Tareas!$C$6:$C$205,MATCH(A$5&amp;"_"&amp;40,Tareas!$N$6:$N$205,0),1)&amp;CHAR(10)&amp;INDEX(Tareas!$E$6:$E$205,MATCH(A$5&amp;"_"&amp;40,Tareas!$N$6:$N$205,0),1)&amp;CHAR(10)&amp;INDEX(Tareas!$O$6:$O$205,MATCH(A$5&amp;"_"&amp;40,Tareas!$N$6:$N$205,0),1))</x:f>
      </x:c>
      <x:c r="B45" s="21" t="str">
        <x:f>IF(40&gt;B$4,"",INDEX(Tareas!$A$6:$A$205,MATCH(B$5&amp;"_"&amp;40,Tareas!$N$6:$N$205,0),1)&amp;" · "&amp;INDEX(Tareas!$D$6:$D$205,MATCH(B$5&amp;"_"&amp;40,Tareas!$N$6:$N$205,0),1)&amp;CHAR(10)&amp;INDEX(Tareas!$C$6:$C$205,MATCH(B$5&amp;"_"&amp;40,Tareas!$N$6:$N$205,0),1)&amp;CHAR(10)&amp;INDEX(Tareas!$E$6:$E$205,MATCH(B$5&amp;"_"&amp;40,Tareas!$N$6:$N$205,0),1)&amp;CHAR(10)&amp;INDEX(Tareas!$O$6:$O$205,MATCH(B$5&amp;"_"&amp;40,Tareas!$N$6:$N$205,0),1))</x:f>
      </x:c>
      <x:c r="C45" s="21" t="str">
        <x:f>IF(40&gt;C$4,"",INDEX(Tareas!$A$6:$A$205,MATCH(C$5&amp;"_"&amp;40,Tareas!$N$6:$N$205,0),1)&amp;" · "&amp;INDEX(Tareas!$D$6:$D$205,MATCH(C$5&amp;"_"&amp;40,Tareas!$N$6:$N$205,0),1)&amp;CHAR(10)&amp;INDEX(Tareas!$C$6:$C$205,MATCH(C$5&amp;"_"&amp;40,Tareas!$N$6:$N$205,0),1)&amp;CHAR(10)&amp;INDEX(Tareas!$E$6:$E$205,MATCH(C$5&amp;"_"&amp;40,Tareas!$N$6:$N$205,0),1)&amp;CHAR(10)&amp;INDEX(Tareas!$O$6:$O$205,MATCH(C$5&amp;"_"&amp;40,Tareas!$N$6:$N$205,0),1))</x:f>
      </x:c>
      <x:c r="D45" s="21" t="str">
        <x:f>IF(40&gt;D$4,"",INDEX(Tareas!$A$6:$A$205,MATCH(D$5&amp;"_"&amp;40,Tareas!$N$6:$N$205,0),1)&amp;" · "&amp;INDEX(Tareas!$D$6:$D$205,MATCH(D$5&amp;"_"&amp;40,Tareas!$N$6:$N$205,0),1)&amp;CHAR(10)&amp;INDEX(Tareas!$C$6:$C$205,MATCH(D$5&amp;"_"&amp;40,Tareas!$N$6:$N$205,0),1)&amp;CHAR(10)&amp;INDEX(Tareas!$E$6:$E$205,MATCH(D$5&amp;"_"&amp;40,Tareas!$N$6:$N$205,0),1)&amp;CHAR(10)&amp;INDEX(Tareas!$O$6:$O$205,MATCH(D$5&amp;"_"&amp;40,Tareas!$N$6:$N$205,0),1))</x:f>
      </x:c>
      <x:c r="E45" s="21" t="str">
        <x:f>IF(40&gt;E$4,"",INDEX(Tareas!$A$6:$A$205,MATCH(E$5&amp;"_"&amp;40,Tareas!$N$6:$N$205,0),1)&amp;" · "&amp;INDEX(Tareas!$D$6:$D$205,MATCH(E$5&amp;"_"&amp;40,Tareas!$N$6:$N$205,0),1)&amp;CHAR(10)&amp;INDEX(Tareas!$C$6:$C$205,MATCH(E$5&amp;"_"&amp;40,Tareas!$N$6:$N$205,0),1)&amp;CHAR(10)&amp;INDEX(Tareas!$E$6:$E$205,MATCH(E$5&amp;"_"&amp;40,Tareas!$N$6:$N$205,0),1)&amp;CHAR(10)&amp;INDEX(Tareas!$O$6:$O$205,MATCH(E$5&amp;"_"&amp;40,Tareas!$N$6:$N$205,0),1))</x:f>
      </x:c>
      <x:c r="F45" s="21" t="str">
        <x:f>IF(40&gt;F$4,"",INDEX(Tareas!$A$6:$A$205,MATCH(F$5&amp;"_"&amp;40,Tareas!$N$6:$N$205,0),1)&amp;" · "&amp;INDEX(Tareas!$D$6:$D$205,MATCH(F$5&amp;"_"&amp;40,Tareas!$N$6:$N$205,0),1)&amp;CHAR(10)&amp;INDEX(Tareas!$C$6:$C$205,MATCH(F$5&amp;"_"&amp;40,Tareas!$N$6:$N$205,0),1)&amp;CHAR(10)&amp;INDEX(Tareas!$E$6:$E$205,MATCH(F$5&amp;"_"&amp;40,Tareas!$N$6:$N$205,0),1)&amp;CHAR(10)&amp;INDEX(Tareas!$O$6:$O$205,MATCH(F$5&amp;"_"&amp;40,Tareas!$N$6:$N$205,0),1))</x:f>
      </x:c>
    </x:row>
    <x:row r="46" ht="76" customHeight="1">
      <x:c r="A46" s="21" t="str">
        <x:f>IF(41&gt;A$4,"",INDEX(Tareas!$A$6:$A$205,MATCH(A$5&amp;"_"&amp;41,Tareas!$N$6:$N$205,0),1)&amp;" · "&amp;INDEX(Tareas!$D$6:$D$205,MATCH(A$5&amp;"_"&amp;41,Tareas!$N$6:$N$205,0),1)&amp;CHAR(10)&amp;INDEX(Tareas!$C$6:$C$205,MATCH(A$5&amp;"_"&amp;41,Tareas!$N$6:$N$205,0),1)&amp;CHAR(10)&amp;INDEX(Tareas!$E$6:$E$205,MATCH(A$5&amp;"_"&amp;41,Tareas!$N$6:$N$205,0),1)&amp;CHAR(10)&amp;INDEX(Tareas!$O$6:$O$205,MATCH(A$5&amp;"_"&amp;41,Tareas!$N$6:$N$205,0),1))</x:f>
      </x:c>
      <x:c r="B46" s="21" t="str">
        <x:f>IF(41&gt;B$4,"",INDEX(Tareas!$A$6:$A$205,MATCH(B$5&amp;"_"&amp;41,Tareas!$N$6:$N$205,0),1)&amp;" · "&amp;INDEX(Tareas!$D$6:$D$205,MATCH(B$5&amp;"_"&amp;41,Tareas!$N$6:$N$205,0),1)&amp;CHAR(10)&amp;INDEX(Tareas!$C$6:$C$205,MATCH(B$5&amp;"_"&amp;41,Tareas!$N$6:$N$205,0),1)&amp;CHAR(10)&amp;INDEX(Tareas!$E$6:$E$205,MATCH(B$5&amp;"_"&amp;41,Tareas!$N$6:$N$205,0),1)&amp;CHAR(10)&amp;INDEX(Tareas!$O$6:$O$205,MATCH(B$5&amp;"_"&amp;41,Tareas!$N$6:$N$205,0),1))</x:f>
      </x:c>
      <x:c r="C46" s="21" t="str">
        <x:f>IF(41&gt;C$4,"",INDEX(Tareas!$A$6:$A$205,MATCH(C$5&amp;"_"&amp;41,Tareas!$N$6:$N$205,0),1)&amp;" · "&amp;INDEX(Tareas!$D$6:$D$205,MATCH(C$5&amp;"_"&amp;41,Tareas!$N$6:$N$205,0),1)&amp;CHAR(10)&amp;INDEX(Tareas!$C$6:$C$205,MATCH(C$5&amp;"_"&amp;41,Tareas!$N$6:$N$205,0),1)&amp;CHAR(10)&amp;INDEX(Tareas!$E$6:$E$205,MATCH(C$5&amp;"_"&amp;41,Tareas!$N$6:$N$205,0),1)&amp;CHAR(10)&amp;INDEX(Tareas!$O$6:$O$205,MATCH(C$5&amp;"_"&amp;41,Tareas!$N$6:$N$205,0),1))</x:f>
      </x:c>
      <x:c r="D46" s="21" t="str">
        <x:f>IF(41&gt;D$4,"",INDEX(Tareas!$A$6:$A$205,MATCH(D$5&amp;"_"&amp;41,Tareas!$N$6:$N$205,0),1)&amp;" · "&amp;INDEX(Tareas!$D$6:$D$205,MATCH(D$5&amp;"_"&amp;41,Tareas!$N$6:$N$205,0),1)&amp;CHAR(10)&amp;INDEX(Tareas!$C$6:$C$205,MATCH(D$5&amp;"_"&amp;41,Tareas!$N$6:$N$205,0),1)&amp;CHAR(10)&amp;INDEX(Tareas!$E$6:$E$205,MATCH(D$5&amp;"_"&amp;41,Tareas!$N$6:$N$205,0),1)&amp;CHAR(10)&amp;INDEX(Tareas!$O$6:$O$205,MATCH(D$5&amp;"_"&amp;41,Tareas!$N$6:$N$205,0),1))</x:f>
      </x:c>
      <x:c r="E46" s="21" t="str">
        <x:f>IF(41&gt;E$4,"",INDEX(Tareas!$A$6:$A$205,MATCH(E$5&amp;"_"&amp;41,Tareas!$N$6:$N$205,0),1)&amp;" · "&amp;INDEX(Tareas!$D$6:$D$205,MATCH(E$5&amp;"_"&amp;41,Tareas!$N$6:$N$205,0),1)&amp;CHAR(10)&amp;INDEX(Tareas!$C$6:$C$205,MATCH(E$5&amp;"_"&amp;41,Tareas!$N$6:$N$205,0),1)&amp;CHAR(10)&amp;INDEX(Tareas!$E$6:$E$205,MATCH(E$5&amp;"_"&amp;41,Tareas!$N$6:$N$205,0),1)&amp;CHAR(10)&amp;INDEX(Tareas!$O$6:$O$205,MATCH(E$5&amp;"_"&amp;41,Tareas!$N$6:$N$205,0),1))</x:f>
      </x:c>
      <x:c r="F46" s="21" t="str">
        <x:f>IF(41&gt;F$4,"",INDEX(Tareas!$A$6:$A$205,MATCH(F$5&amp;"_"&amp;41,Tareas!$N$6:$N$205,0),1)&amp;" · "&amp;INDEX(Tareas!$D$6:$D$205,MATCH(F$5&amp;"_"&amp;41,Tareas!$N$6:$N$205,0),1)&amp;CHAR(10)&amp;INDEX(Tareas!$C$6:$C$205,MATCH(F$5&amp;"_"&amp;41,Tareas!$N$6:$N$205,0),1)&amp;CHAR(10)&amp;INDEX(Tareas!$E$6:$E$205,MATCH(F$5&amp;"_"&amp;41,Tareas!$N$6:$N$205,0),1)&amp;CHAR(10)&amp;INDEX(Tareas!$O$6:$O$205,MATCH(F$5&amp;"_"&amp;41,Tareas!$N$6:$N$205,0),1))</x:f>
      </x:c>
    </x:row>
    <x:row r="47" ht="76" customHeight="1">
      <x:c r="A47" s="21" t="str">
        <x:f>IF(42&gt;A$4,"",INDEX(Tareas!$A$6:$A$205,MATCH(A$5&amp;"_"&amp;42,Tareas!$N$6:$N$205,0),1)&amp;" · "&amp;INDEX(Tareas!$D$6:$D$205,MATCH(A$5&amp;"_"&amp;42,Tareas!$N$6:$N$205,0),1)&amp;CHAR(10)&amp;INDEX(Tareas!$C$6:$C$205,MATCH(A$5&amp;"_"&amp;42,Tareas!$N$6:$N$205,0),1)&amp;CHAR(10)&amp;INDEX(Tareas!$E$6:$E$205,MATCH(A$5&amp;"_"&amp;42,Tareas!$N$6:$N$205,0),1)&amp;CHAR(10)&amp;INDEX(Tareas!$O$6:$O$205,MATCH(A$5&amp;"_"&amp;42,Tareas!$N$6:$N$205,0),1))</x:f>
      </x:c>
      <x:c r="B47" s="21" t="str">
        <x:f>IF(42&gt;B$4,"",INDEX(Tareas!$A$6:$A$205,MATCH(B$5&amp;"_"&amp;42,Tareas!$N$6:$N$205,0),1)&amp;" · "&amp;INDEX(Tareas!$D$6:$D$205,MATCH(B$5&amp;"_"&amp;42,Tareas!$N$6:$N$205,0),1)&amp;CHAR(10)&amp;INDEX(Tareas!$C$6:$C$205,MATCH(B$5&amp;"_"&amp;42,Tareas!$N$6:$N$205,0),1)&amp;CHAR(10)&amp;INDEX(Tareas!$E$6:$E$205,MATCH(B$5&amp;"_"&amp;42,Tareas!$N$6:$N$205,0),1)&amp;CHAR(10)&amp;INDEX(Tareas!$O$6:$O$205,MATCH(B$5&amp;"_"&amp;42,Tareas!$N$6:$N$205,0),1))</x:f>
      </x:c>
      <x:c r="C47" s="21" t="str">
        <x:f>IF(42&gt;C$4,"",INDEX(Tareas!$A$6:$A$205,MATCH(C$5&amp;"_"&amp;42,Tareas!$N$6:$N$205,0),1)&amp;" · "&amp;INDEX(Tareas!$D$6:$D$205,MATCH(C$5&amp;"_"&amp;42,Tareas!$N$6:$N$205,0),1)&amp;CHAR(10)&amp;INDEX(Tareas!$C$6:$C$205,MATCH(C$5&amp;"_"&amp;42,Tareas!$N$6:$N$205,0),1)&amp;CHAR(10)&amp;INDEX(Tareas!$E$6:$E$205,MATCH(C$5&amp;"_"&amp;42,Tareas!$N$6:$N$205,0),1)&amp;CHAR(10)&amp;INDEX(Tareas!$O$6:$O$205,MATCH(C$5&amp;"_"&amp;42,Tareas!$N$6:$N$205,0),1))</x:f>
      </x:c>
      <x:c r="D47" s="21" t="str">
        <x:f>IF(42&gt;D$4,"",INDEX(Tareas!$A$6:$A$205,MATCH(D$5&amp;"_"&amp;42,Tareas!$N$6:$N$205,0),1)&amp;" · "&amp;INDEX(Tareas!$D$6:$D$205,MATCH(D$5&amp;"_"&amp;42,Tareas!$N$6:$N$205,0),1)&amp;CHAR(10)&amp;INDEX(Tareas!$C$6:$C$205,MATCH(D$5&amp;"_"&amp;42,Tareas!$N$6:$N$205,0),1)&amp;CHAR(10)&amp;INDEX(Tareas!$E$6:$E$205,MATCH(D$5&amp;"_"&amp;42,Tareas!$N$6:$N$205,0),1)&amp;CHAR(10)&amp;INDEX(Tareas!$O$6:$O$205,MATCH(D$5&amp;"_"&amp;42,Tareas!$N$6:$N$205,0),1))</x:f>
      </x:c>
      <x:c r="E47" s="21" t="str">
        <x:f>IF(42&gt;E$4,"",INDEX(Tareas!$A$6:$A$205,MATCH(E$5&amp;"_"&amp;42,Tareas!$N$6:$N$205,0),1)&amp;" · "&amp;INDEX(Tareas!$D$6:$D$205,MATCH(E$5&amp;"_"&amp;42,Tareas!$N$6:$N$205,0),1)&amp;CHAR(10)&amp;INDEX(Tareas!$C$6:$C$205,MATCH(E$5&amp;"_"&amp;42,Tareas!$N$6:$N$205,0),1)&amp;CHAR(10)&amp;INDEX(Tareas!$E$6:$E$205,MATCH(E$5&amp;"_"&amp;42,Tareas!$N$6:$N$205,0),1)&amp;CHAR(10)&amp;INDEX(Tareas!$O$6:$O$205,MATCH(E$5&amp;"_"&amp;42,Tareas!$N$6:$N$205,0),1))</x:f>
      </x:c>
      <x:c r="F47" s="21" t="str">
        <x:f>IF(42&gt;F$4,"",INDEX(Tareas!$A$6:$A$205,MATCH(F$5&amp;"_"&amp;42,Tareas!$N$6:$N$205,0),1)&amp;" · "&amp;INDEX(Tareas!$D$6:$D$205,MATCH(F$5&amp;"_"&amp;42,Tareas!$N$6:$N$205,0),1)&amp;CHAR(10)&amp;INDEX(Tareas!$C$6:$C$205,MATCH(F$5&amp;"_"&amp;42,Tareas!$N$6:$N$205,0),1)&amp;CHAR(10)&amp;INDEX(Tareas!$E$6:$E$205,MATCH(F$5&amp;"_"&amp;42,Tareas!$N$6:$N$205,0),1)&amp;CHAR(10)&amp;INDEX(Tareas!$O$6:$O$205,MATCH(F$5&amp;"_"&amp;42,Tareas!$N$6:$N$205,0),1))</x:f>
      </x:c>
    </x:row>
    <x:row r="48" ht="76" customHeight="1">
      <x:c r="A48" s="21" t="str">
        <x:f>IF(43&gt;A$4,"",INDEX(Tareas!$A$6:$A$205,MATCH(A$5&amp;"_"&amp;43,Tareas!$N$6:$N$205,0),1)&amp;" · "&amp;INDEX(Tareas!$D$6:$D$205,MATCH(A$5&amp;"_"&amp;43,Tareas!$N$6:$N$205,0),1)&amp;CHAR(10)&amp;INDEX(Tareas!$C$6:$C$205,MATCH(A$5&amp;"_"&amp;43,Tareas!$N$6:$N$205,0),1)&amp;CHAR(10)&amp;INDEX(Tareas!$E$6:$E$205,MATCH(A$5&amp;"_"&amp;43,Tareas!$N$6:$N$205,0),1)&amp;CHAR(10)&amp;INDEX(Tareas!$O$6:$O$205,MATCH(A$5&amp;"_"&amp;43,Tareas!$N$6:$N$205,0),1))</x:f>
      </x:c>
      <x:c r="B48" s="21" t="str">
        <x:f>IF(43&gt;B$4,"",INDEX(Tareas!$A$6:$A$205,MATCH(B$5&amp;"_"&amp;43,Tareas!$N$6:$N$205,0),1)&amp;" · "&amp;INDEX(Tareas!$D$6:$D$205,MATCH(B$5&amp;"_"&amp;43,Tareas!$N$6:$N$205,0),1)&amp;CHAR(10)&amp;INDEX(Tareas!$C$6:$C$205,MATCH(B$5&amp;"_"&amp;43,Tareas!$N$6:$N$205,0),1)&amp;CHAR(10)&amp;INDEX(Tareas!$E$6:$E$205,MATCH(B$5&amp;"_"&amp;43,Tareas!$N$6:$N$205,0),1)&amp;CHAR(10)&amp;INDEX(Tareas!$O$6:$O$205,MATCH(B$5&amp;"_"&amp;43,Tareas!$N$6:$N$205,0),1))</x:f>
      </x:c>
      <x:c r="C48" s="21" t="str">
        <x:f>IF(43&gt;C$4,"",INDEX(Tareas!$A$6:$A$205,MATCH(C$5&amp;"_"&amp;43,Tareas!$N$6:$N$205,0),1)&amp;" · "&amp;INDEX(Tareas!$D$6:$D$205,MATCH(C$5&amp;"_"&amp;43,Tareas!$N$6:$N$205,0),1)&amp;CHAR(10)&amp;INDEX(Tareas!$C$6:$C$205,MATCH(C$5&amp;"_"&amp;43,Tareas!$N$6:$N$205,0),1)&amp;CHAR(10)&amp;INDEX(Tareas!$E$6:$E$205,MATCH(C$5&amp;"_"&amp;43,Tareas!$N$6:$N$205,0),1)&amp;CHAR(10)&amp;INDEX(Tareas!$O$6:$O$205,MATCH(C$5&amp;"_"&amp;43,Tareas!$N$6:$N$205,0),1))</x:f>
      </x:c>
      <x:c r="D48" s="21" t="str">
        <x:f>IF(43&gt;D$4,"",INDEX(Tareas!$A$6:$A$205,MATCH(D$5&amp;"_"&amp;43,Tareas!$N$6:$N$205,0),1)&amp;" · "&amp;INDEX(Tareas!$D$6:$D$205,MATCH(D$5&amp;"_"&amp;43,Tareas!$N$6:$N$205,0),1)&amp;CHAR(10)&amp;INDEX(Tareas!$C$6:$C$205,MATCH(D$5&amp;"_"&amp;43,Tareas!$N$6:$N$205,0),1)&amp;CHAR(10)&amp;INDEX(Tareas!$E$6:$E$205,MATCH(D$5&amp;"_"&amp;43,Tareas!$N$6:$N$205,0),1)&amp;CHAR(10)&amp;INDEX(Tareas!$O$6:$O$205,MATCH(D$5&amp;"_"&amp;43,Tareas!$N$6:$N$205,0),1))</x:f>
      </x:c>
      <x:c r="E48" s="21" t="str">
        <x:f>IF(43&gt;E$4,"",INDEX(Tareas!$A$6:$A$205,MATCH(E$5&amp;"_"&amp;43,Tareas!$N$6:$N$205,0),1)&amp;" · "&amp;INDEX(Tareas!$D$6:$D$205,MATCH(E$5&amp;"_"&amp;43,Tareas!$N$6:$N$205,0),1)&amp;CHAR(10)&amp;INDEX(Tareas!$C$6:$C$205,MATCH(E$5&amp;"_"&amp;43,Tareas!$N$6:$N$205,0),1)&amp;CHAR(10)&amp;INDEX(Tareas!$E$6:$E$205,MATCH(E$5&amp;"_"&amp;43,Tareas!$N$6:$N$205,0),1)&amp;CHAR(10)&amp;INDEX(Tareas!$O$6:$O$205,MATCH(E$5&amp;"_"&amp;43,Tareas!$N$6:$N$205,0),1))</x:f>
      </x:c>
      <x:c r="F48" s="21" t="str">
        <x:f>IF(43&gt;F$4,"",INDEX(Tareas!$A$6:$A$205,MATCH(F$5&amp;"_"&amp;43,Tareas!$N$6:$N$205,0),1)&amp;" · "&amp;INDEX(Tareas!$D$6:$D$205,MATCH(F$5&amp;"_"&amp;43,Tareas!$N$6:$N$205,0),1)&amp;CHAR(10)&amp;INDEX(Tareas!$C$6:$C$205,MATCH(F$5&amp;"_"&amp;43,Tareas!$N$6:$N$205,0),1)&amp;CHAR(10)&amp;INDEX(Tareas!$E$6:$E$205,MATCH(F$5&amp;"_"&amp;43,Tareas!$N$6:$N$205,0),1)&amp;CHAR(10)&amp;INDEX(Tareas!$O$6:$O$205,MATCH(F$5&amp;"_"&amp;43,Tareas!$N$6:$N$205,0),1))</x:f>
      </x:c>
    </x:row>
    <x:row r="49" ht="76" customHeight="1">
      <x:c r="A49" s="21" t="str">
        <x:f>IF(44&gt;A$4,"",INDEX(Tareas!$A$6:$A$205,MATCH(A$5&amp;"_"&amp;44,Tareas!$N$6:$N$205,0),1)&amp;" · "&amp;INDEX(Tareas!$D$6:$D$205,MATCH(A$5&amp;"_"&amp;44,Tareas!$N$6:$N$205,0),1)&amp;CHAR(10)&amp;INDEX(Tareas!$C$6:$C$205,MATCH(A$5&amp;"_"&amp;44,Tareas!$N$6:$N$205,0),1)&amp;CHAR(10)&amp;INDEX(Tareas!$E$6:$E$205,MATCH(A$5&amp;"_"&amp;44,Tareas!$N$6:$N$205,0),1)&amp;CHAR(10)&amp;INDEX(Tareas!$O$6:$O$205,MATCH(A$5&amp;"_"&amp;44,Tareas!$N$6:$N$205,0),1))</x:f>
      </x:c>
      <x:c r="B49" s="21" t="str">
        <x:f>IF(44&gt;B$4,"",INDEX(Tareas!$A$6:$A$205,MATCH(B$5&amp;"_"&amp;44,Tareas!$N$6:$N$205,0),1)&amp;" · "&amp;INDEX(Tareas!$D$6:$D$205,MATCH(B$5&amp;"_"&amp;44,Tareas!$N$6:$N$205,0),1)&amp;CHAR(10)&amp;INDEX(Tareas!$C$6:$C$205,MATCH(B$5&amp;"_"&amp;44,Tareas!$N$6:$N$205,0),1)&amp;CHAR(10)&amp;INDEX(Tareas!$E$6:$E$205,MATCH(B$5&amp;"_"&amp;44,Tareas!$N$6:$N$205,0),1)&amp;CHAR(10)&amp;INDEX(Tareas!$O$6:$O$205,MATCH(B$5&amp;"_"&amp;44,Tareas!$N$6:$N$205,0),1))</x:f>
      </x:c>
      <x:c r="C49" s="21" t="str">
        <x:f>IF(44&gt;C$4,"",INDEX(Tareas!$A$6:$A$205,MATCH(C$5&amp;"_"&amp;44,Tareas!$N$6:$N$205,0),1)&amp;" · "&amp;INDEX(Tareas!$D$6:$D$205,MATCH(C$5&amp;"_"&amp;44,Tareas!$N$6:$N$205,0),1)&amp;CHAR(10)&amp;INDEX(Tareas!$C$6:$C$205,MATCH(C$5&amp;"_"&amp;44,Tareas!$N$6:$N$205,0),1)&amp;CHAR(10)&amp;INDEX(Tareas!$E$6:$E$205,MATCH(C$5&amp;"_"&amp;44,Tareas!$N$6:$N$205,0),1)&amp;CHAR(10)&amp;INDEX(Tareas!$O$6:$O$205,MATCH(C$5&amp;"_"&amp;44,Tareas!$N$6:$N$205,0),1))</x:f>
      </x:c>
      <x:c r="D49" s="21" t="str">
        <x:f>IF(44&gt;D$4,"",INDEX(Tareas!$A$6:$A$205,MATCH(D$5&amp;"_"&amp;44,Tareas!$N$6:$N$205,0),1)&amp;" · "&amp;INDEX(Tareas!$D$6:$D$205,MATCH(D$5&amp;"_"&amp;44,Tareas!$N$6:$N$205,0),1)&amp;CHAR(10)&amp;INDEX(Tareas!$C$6:$C$205,MATCH(D$5&amp;"_"&amp;44,Tareas!$N$6:$N$205,0),1)&amp;CHAR(10)&amp;INDEX(Tareas!$E$6:$E$205,MATCH(D$5&amp;"_"&amp;44,Tareas!$N$6:$N$205,0),1)&amp;CHAR(10)&amp;INDEX(Tareas!$O$6:$O$205,MATCH(D$5&amp;"_"&amp;44,Tareas!$N$6:$N$205,0),1))</x:f>
      </x:c>
      <x:c r="E49" s="21" t="str">
        <x:f>IF(44&gt;E$4,"",INDEX(Tareas!$A$6:$A$205,MATCH(E$5&amp;"_"&amp;44,Tareas!$N$6:$N$205,0),1)&amp;" · "&amp;INDEX(Tareas!$D$6:$D$205,MATCH(E$5&amp;"_"&amp;44,Tareas!$N$6:$N$205,0),1)&amp;CHAR(10)&amp;INDEX(Tareas!$C$6:$C$205,MATCH(E$5&amp;"_"&amp;44,Tareas!$N$6:$N$205,0),1)&amp;CHAR(10)&amp;INDEX(Tareas!$E$6:$E$205,MATCH(E$5&amp;"_"&amp;44,Tareas!$N$6:$N$205,0),1)&amp;CHAR(10)&amp;INDEX(Tareas!$O$6:$O$205,MATCH(E$5&amp;"_"&amp;44,Tareas!$N$6:$N$205,0),1))</x:f>
      </x:c>
      <x:c r="F49" s="21" t="str">
        <x:f>IF(44&gt;F$4,"",INDEX(Tareas!$A$6:$A$205,MATCH(F$5&amp;"_"&amp;44,Tareas!$N$6:$N$205,0),1)&amp;" · "&amp;INDEX(Tareas!$D$6:$D$205,MATCH(F$5&amp;"_"&amp;44,Tareas!$N$6:$N$205,0),1)&amp;CHAR(10)&amp;INDEX(Tareas!$C$6:$C$205,MATCH(F$5&amp;"_"&amp;44,Tareas!$N$6:$N$205,0),1)&amp;CHAR(10)&amp;INDEX(Tareas!$E$6:$E$205,MATCH(F$5&amp;"_"&amp;44,Tareas!$N$6:$N$205,0),1)&amp;CHAR(10)&amp;INDEX(Tareas!$O$6:$O$205,MATCH(F$5&amp;"_"&amp;44,Tareas!$N$6:$N$205,0),1))</x:f>
      </x:c>
    </x:row>
    <x:row r="50" ht="76" customHeight="1">
      <x:c r="A50" s="21" t="str">
        <x:f>IF(45&gt;A$4,"",INDEX(Tareas!$A$6:$A$205,MATCH(A$5&amp;"_"&amp;45,Tareas!$N$6:$N$205,0),1)&amp;" · "&amp;INDEX(Tareas!$D$6:$D$205,MATCH(A$5&amp;"_"&amp;45,Tareas!$N$6:$N$205,0),1)&amp;CHAR(10)&amp;INDEX(Tareas!$C$6:$C$205,MATCH(A$5&amp;"_"&amp;45,Tareas!$N$6:$N$205,0),1)&amp;CHAR(10)&amp;INDEX(Tareas!$E$6:$E$205,MATCH(A$5&amp;"_"&amp;45,Tareas!$N$6:$N$205,0),1)&amp;CHAR(10)&amp;INDEX(Tareas!$O$6:$O$205,MATCH(A$5&amp;"_"&amp;45,Tareas!$N$6:$N$205,0),1))</x:f>
      </x:c>
      <x:c r="B50" s="21" t="str">
        <x:f>IF(45&gt;B$4,"",INDEX(Tareas!$A$6:$A$205,MATCH(B$5&amp;"_"&amp;45,Tareas!$N$6:$N$205,0),1)&amp;" · "&amp;INDEX(Tareas!$D$6:$D$205,MATCH(B$5&amp;"_"&amp;45,Tareas!$N$6:$N$205,0),1)&amp;CHAR(10)&amp;INDEX(Tareas!$C$6:$C$205,MATCH(B$5&amp;"_"&amp;45,Tareas!$N$6:$N$205,0),1)&amp;CHAR(10)&amp;INDEX(Tareas!$E$6:$E$205,MATCH(B$5&amp;"_"&amp;45,Tareas!$N$6:$N$205,0),1)&amp;CHAR(10)&amp;INDEX(Tareas!$O$6:$O$205,MATCH(B$5&amp;"_"&amp;45,Tareas!$N$6:$N$205,0),1))</x:f>
      </x:c>
      <x:c r="C50" s="21" t="str">
        <x:f>IF(45&gt;C$4,"",INDEX(Tareas!$A$6:$A$205,MATCH(C$5&amp;"_"&amp;45,Tareas!$N$6:$N$205,0),1)&amp;" · "&amp;INDEX(Tareas!$D$6:$D$205,MATCH(C$5&amp;"_"&amp;45,Tareas!$N$6:$N$205,0),1)&amp;CHAR(10)&amp;INDEX(Tareas!$C$6:$C$205,MATCH(C$5&amp;"_"&amp;45,Tareas!$N$6:$N$205,0),1)&amp;CHAR(10)&amp;INDEX(Tareas!$E$6:$E$205,MATCH(C$5&amp;"_"&amp;45,Tareas!$N$6:$N$205,0),1)&amp;CHAR(10)&amp;INDEX(Tareas!$O$6:$O$205,MATCH(C$5&amp;"_"&amp;45,Tareas!$N$6:$N$205,0),1))</x:f>
      </x:c>
      <x:c r="D50" s="21" t="str">
        <x:f>IF(45&gt;D$4,"",INDEX(Tareas!$A$6:$A$205,MATCH(D$5&amp;"_"&amp;45,Tareas!$N$6:$N$205,0),1)&amp;" · "&amp;INDEX(Tareas!$D$6:$D$205,MATCH(D$5&amp;"_"&amp;45,Tareas!$N$6:$N$205,0),1)&amp;CHAR(10)&amp;INDEX(Tareas!$C$6:$C$205,MATCH(D$5&amp;"_"&amp;45,Tareas!$N$6:$N$205,0),1)&amp;CHAR(10)&amp;INDEX(Tareas!$E$6:$E$205,MATCH(D$5&amp;"_"&amp;45,Tareas!$N$6:$N$205,0),1)&amp;CHAR(10)&amp;INDEX(Tareas!$O$6:$O$205,MATCH(D$5&amp;"_"&amp;45,Tareas!$N$6:$N$205,0),1))</x:f>
      </x:c>
      <x:c r="E50" s="21" t="str">
        <x:f>IF(45&gt;E$4,"",INDEX(Tareas!$A$6:$A$205,MATCH(E$5&amp;"_"&amp;45,Tareas!$N$6:$N$205,0),1)&amp;" · "&amp;INDEX(Tareas!$D$6:$D$205,MATCH(E$5&amp;"_"&amp;45,Tareas!$N$6:$N$205,0),1)&amp;CHAR(10)&amp;INDEX(Tareas!$C$6:$C$205,MATCH(E$5&amp;"_"&amp;45,Tareas!$N$6:$N$205,0),1)&amp;CHAR(10)&amp;INDEX(Tareas!$E$6:$E$205,MATCH(E$5&amp;"_"&amp;45,Tareas!$N$6:$N$205,0),1)&amp;CHAR(10)&amp;INDEX(Tareas!$O$6:$O$205,MATCH(E$5&amp;"_"&amp;45,Tareas!$N$6:$N$205,0),1))</x:f>
      </x:c>
      <x:c r="F50" s="21" t="str">
        <x:f>IF(45&gt;F$4,"",INDEX(Tareas!$A$6:$A$205,MATCH(F$5&amp;"_"&amp;45,Tareas!$N$6:$N$205,0),1)&amp;" · "&amp;INDEX(Tareas!$D$6:$D$205,MATCH(F$5&amp;"_"&amp;45,Tareas!$N$6:$N$205,0),1)&amp;CHAR(10)&amp;INDEX(Tareas!$C$6:$C$205,MATCH(F$5&amp;"_"&amp;45,Tareas!$N$6:$N$205,0),1)&amp;CHAR(10)&amp;INDEX(Tareas!$E$6:$E$205,MATCH(F$5&amp;"_"&amp;45,Tareas!$N$6:$N$205,0),1)&amp;CHAR(10)&amp;INDEX(Tareas!$O$6:$O$205,MATCH(F$5&amp;"_"&amp;45,Tareas!$N$6:$N$205,0),1))</x:f>
      </x:c>
    </x:row>
    <x:row r="51" ht="76" customHeight="1">
      <x:c r="A51" s="21" t="str">
        <x:f>IF(46&gt;A$4,"",INDEX(Tareas!$A$6:$A$205,MATCH(A$5&amp;"_"&amp;46,Tareas!$N$6:$N$205,0),1)&amp;" · "&amp;INDEX(Tareas!$D$6:$D$205,MATCH(A$5&amp;"_"&amp;46,Tareas!$N$6:$N$205,0),1)&amp;CHAR(10)&amp;INDEX(Tareas!$C$6:$C$205,MATCH(A$5&amp;"_"&amp;46,Tareas!$N$6:$N$205,0),1)&amp;CHAR(10)&amp;INDEX(Tareas!$E$6:$E$205,MATCH(A$5&amp;"_"&amp;46,Tareas!$N$6:$N$205,0),1)&amp;CHAR(10)&amp;INDEX(Tareas!$O$6:$O$205,MATCH(A$5&amp;"_"&amp;46,Tareas!$N$6:$N$205,0),1))</x:f>
      </x:c>
      <x:c r="B51" s="21" t="str">
        <x:f>IF(46&gt;B$4,"",INDEX(Tareas!$A$6:$A$205,MATCH(B$5&amp;"_"&amp;46,Tareas!$N$6:$N$205,0),1)&amp;" · "&amp;INDEX(Tareas!$D$6:$D$205,MATCH(B$5&amp;"_"&amp;46,Tareas!$N$6:$N$205,0),1)&amp;CHAR(10)&amp;INDEX(Tareas!$C$6:$C$205,MATCH(B$5&amp;"_"&amp;46,Tareas!$N$6:$N$205,0),1)&amp;CHAR(10)&amp;INDEX(Tareas!$E$6:$E$205,MATCH(B$5&amp;"_"&amp;46,Tareas!$N$6:$N$205,0),1)&amp;CHAR(10)&amp;INDEX(Tareas!$O$6:$O$205,MATCH(B$5&amp;"_"&amp;46,Tareas!$N$6:$N$205,0),1))</x:f>
      </x:c>
      <x:c r="C51" s="21" t="str">
        <x:f>IF(46&gt;C$4,"",INDEX(Tareas!$A$6:$A$205,MATCH(C$5&amp;"_"&amp;46,Tareas!$N$6:$N$205,0),1)&amp;" · "&amp;INDEX(Tareas!$D$6:$D$205,MATCH(C$5&amp;"_"&amp;46,Tareas!$N$6:$N$205,0),1)&amp;CHAR(10)&amp;INDEX(Tareas!$C$6:$C$205,MATCH(C$5&amp;"_"&amp;46,Tareas!$N$6:$N$205,0),1)&amp;CHAR(10)&amp;INDEX(Tareas!$E$6:$E$205,MATCH(C$5&amp;"_"&amp;46,Tareas!$N$6:$N$205,0),1)&amp;CHAR(10)&amp;INDEX(Tareas!$O$6:$O$205,MATCH(C$5&amp;"_"&amp;46,Tareas!$N$6:$N$205,0),1))</x:f>
      </x:c>
      <x:c r="D51" s="21" t="str">
        <x:f>IF(46&gt;D$4,"",INDEX(Tareas!$A$6:$A$205,MATCH(D$5&amp;"_"&amp;46,Tareas!$N$6:$N$205,0),1)&amp;" · "&amp;INDEX(Tareas!$D$6:$D$205,MATCH(D$5&amp;"_"&amp;46,Tareas!$N$6:$N$205,0),1)&amp;CHAR(10)&amp;INDEX(Tareas!$C$6:$C$205,MATCH(D$5&amp;"_"&amp;46,Tareas!$N$6:$N$205,0),1)&amp;CHAR(10)&amp;INDEX(Tareas!$E$6:$E$205,MATCH(D$5&amp;"_"&amp;46,Tareas!$N$6:$N$205,0),1)&amp;CHAR(10)&amp;INDEX(Tareas!$O$6:$O$205,MATCH(D$5&amp;"_"&amp;46,Tareas!$N$6:$N$205,0),1))</x:f>
      </x:c>
      <x:c r="E51" s="21" t="str">
        <x:f>IF(46&gt;E$4,"",INDEX(Tareas!$A$6:$A$205,MATCH(E$5&amp;"_"&amp;46,Tareas!$N$6:$N$205,0),1)&amp;" · "&amp;INDEX(Tareas!$D$6:$D$205,MATCH(E$5&amp;"_"&amp;46,Tareas!$N$6:$N$205,0),1)&amp;CHAR(10)&amp;INDEX(Tareas!$C$6:$C$205,MATCH(E$5&amp;"_"&amp;46,Tareas!$N$6:$N$205,0),1)&amp;CHAR(10)&amp;INDEX(Tareas!$E$6:$E$205,MATCH(E$5&amp;"_"&amp;46,Tareas!$N$6:$N$205,0),1)&amp;CHAR(10)&amp;INDEX(Tareas!$O$6:$O$205,MATCH(E$5&amp;"_"&amp;46,Tareas!$N$6:$N$205,0),1))</x:f>
      </x:c>
      <x:c r="F51" s="21" t="str">
        <x:f>IF(46&gt;F$4,"",INDEX(Tareas!$A$6:$A$205,MATCH(F$5&amp;"_"&amp;46,Tareas!$N$6:$N$205,0),1)&amp;" · "&amp;INDEX(Tareas!$D$6:$D$205,MATCH(F$5&amp;"_"&amp;46,Tareas!$N$6:$N$205,0),1)&amp;CHAR(10)&amp;INDEX(Tareas!$C$6:$C$205,MATCH(F$5&amp;"_"&amp;46,Tareas!$N$6:$N$205,0),1)&amp;CHAR(10)&amp;INDEX(Tareas!$E$6:$E$205,MATCH(F$5&amp;"_"&amp;46,Tareas!$N$6:$N$205,0),1)&amp;CHAR(10)&amp;INDEX(Tareas!$O$6:$O$205,MATCH(F$5&amp;"_"&amp;46,Tareas!$N$6:$N$205,0),1))</x:f>
      </x:c>
    </x:row>
    <x:row r="52" ht="76" customHeight="1">
      <x:c r="A52" s="21" t="str">
        <x:f>IF(47&gt;A$4,"",INDEX(Tareas!$A$6:$A$205,MATCH(A$5&amp;"_"&amp;47,Tareas!$N$6:$N$205,0),1)&amp;" · "&amp;INDEX(Tareas!$D$6:$D$205,MATCH(A$5&amp;"_"&amp;47,Tareas!$N$6:$N$205,0),1)&amp;CHAR(10)&amp;INDEX(Tareas!$C$6:$C$205,MATCH(A$5&amp;"_"&amp;47,Tareas!$N$6:$N$205,0),1)&amp;CHAR(10)&amp;INDEX(Tareas!$E$6:$E$205,MATCH(A$5&amp;"_"&amp;47,Tareas!$N$6:$N$205,0),1)&amp;CHAR(10)&amp;INDEX(Tareas!$O$6:$O$205,MATCH(A$5&amp;"_"&amp;47,Tareas!$N$6:$N$205,0),1))</x:f>
      </x:c>
      <x:c r="B52" s="21" t="str">
        <x:f>IF(47&gt;B$4,"",INDEX(Tareas!$A$6:$A$205,MATCH(B$5&amp;"_"&amp;47,Tareas!$N$6:$N$205,0),1)&amp;" · "&amp;INDEX(Tareas!$D$6:$D$205,MATCH(B$5&amp;"_"&amp;47,Tareas!$N$6:$N$205,0),1)&amp;CHAR(10)&amp;INDEX(Tareas!$C$6:$C$205,MATCH(B$5&amp;"_"&amp;47,Tareas!$N$6:$N$205,0),1)&amp;CHAR(10)&amp;INDEX(Tareas!$E$6:$E$205,MATCH(B$5&amp;"_"&amp;47,Tareas!$N$6:$N$205,0),1)&amp;CHAR(10)&amp;INDEX(Tareas!$O$6:$O$205,MATCH(B$5&amp;"_"&amp;47,Tareas!$N$6:$N$205,0),1))</x:f>
      </x:c>
      <x:c r="C52" s="21" t="str">
        <x:f>IF(47&gt;C$4,"",INDEX(Tareas!$A$6:$A$205,MATCH(C$5&amp;"_"&amp;47,Tareas!$N$6:$N$205,0),1)&amp;" · "&amp;INDEX(Tareas!$D$6:$D$205,MATCH(C$5&amp;"_"&amp;47,Tareas!$N$6:$N$205,0),1)&amp;CHAR(10)&amp;INDEX(Tareas!$C$6:$C$205,MATCH(C$5&amp;"_"&amp;47,Tareas!$N$6:$N$205,0),1)&amp;CHAR(10)&amp;INDEX(Tareas!$E$6:$E$205,MATCH(C$5&amp;"_"&amp;47,Tareas!$N$6:$N$205,0),1)&amp;CHAR(10)&amp;INDEX(Tareas!$O$6:$O$205,MATCH(C$5&amp;"_"&amp;47,Tareas!$N$6:$N$205,0),1))</x:f>
      </x:c>
      <x:c r="D52" s="21" t="str">
        <x:f>IF(47&gt;D$4,"",INDEX(Tareas!$A$6:$A$205,MATCH(D$5&amp;"_"&amp;47,Tareas!$N$6:$N$205,0),1)&amp;" · "&amp;INDEX(Tareas!$D$6:$D$205,MATCH(D$5&amp;"_"&amp;47,Tareas!$N$6:$N$205,0),1)&amp;CHAR(10)&amp;INDEX(Tareas!$C$6:$C$205,MATCH(D$5&amp;"_"&amp;47,Tareas!$N$6:$N$205,0),1)&amp;CHAR(10)&amp;INDEX(Tareas!$E$6:$E$205,MATCH(D$5&amp;"_"&amp;47,Tareas!$N$6:$N$205,0),1)&amp;CHAR(10)&amp;INDEX(Tareas!$O$6:$O$205,MATCH(D$5&amp;"_"&amp;47,Tareas!$N$6:$N$205,0),1))</x:f>
      </x:c>
      <x:c r="E52" s="21" t="str">
        <x:f>IF(47&gt;E$4,"",INDEX(Tareas!$A$6:$A$205,MATCH(E$5&amp;"_"&amp;47,Tareas!$N$6:$N$205,0),1)&amp;" · "&amp;INDEX(Tareas!$D$6:$D$205,MATCH(E$5&amp;"_"&amp;47,Tareas!$N$6:$N$205,0),1)&amp;CHAR(10)&amp;INDEX(Tareas!$C$6:$C$205,MATCH(E$5&amp;"_"&amp;47,Tareas!$N$6:$N$205,0),1)&amp;CHAR(10)&amp;INDEX(Tareas!$E$6:$E$205,MATCH(E$5&amp;"_"&amp;47,Tareas!$N$6:$N$205,0),1)&amp;CHAR(10)&amp;INDEX(Tareas!$O$6:$O$205,MATCH(E$5&amp;"_"&amp;47,Tareas!$N$6:$N$205,0),1))</x:f>
      </x:c>
      <x:c r="F52" s="21" t="str">
        <x:f>IF(47&gt;F$4,"",INDEX(Tareas!$A$6:$A$205,MATCH(F$5&amp;"_"&amp;47,Tareas!$N$6:$N$205,0),1)&amp;" · "&amp;INDEX(Tareas!$D$6:$D$205,MATCH(F$5&amp;"_"&amp;47,Tareas!$N$6:$N$205,0),1)&amp;CHAR(10)&amp;INDEX(Tareas!$C$6:$C$205,MATCH(F$5&amp;"_"&amp;47,Tareas!$N$6:$N$205,0),1)&amp;CHAR(10)&amp;INDEX(Tareas!$E$6:$E$205,MATCH(F$5&amp;"_"&amp;47,Tareas!$N$6:$N$205,0),1)&amp;CHAR(10)&amp;INDEX(Tareas!$O$6:$O$205,MATCH(F$5&amp;"_"&amp;47,Tareas!$N$6:$N$205,0),1))</x:f>
      </x:c>
    </x:row>
    <x:row r="53" ht="76" customHeight="1">
      <x:c r="A53" s="21" t="str">
        <x:f>IF(48&gt;A$4,"",INDEX(Tareas!$A$6:$A$205,MATCH(A$5&amp;"_"&amp;48,Tareas!$N$6:$N$205,0),1)&amp;" · "&amp;INDEX(Tareas!$D$6:$D$205,MATCH(A$5&amp;"_"&amp;48,Tareas!$N$6:$N$205,0),1)&amp;CHAR(10)&amp;INDEX(Tareas!$C$6:$C$205,MATCH(A$5&amp;"_"&amp;48,Tareas!$N$6:$N$205,0),1)&amp;CHAR(10)&amp;INDEX(Tareas!$E$6:$E$205,MATCH(A$5&amp;"_"&amp;48,Tareas!$N$6:$N$205,0),1)&amp;CHAR(10)&amp;INDEX(Tareas!$O$6:$O$205,MATCH(A$5&amp;"_"&amp;48,Tareas!$N$6:$N$205,0),1))</x:f>
      </x:c>
      <x:c r="B53" s="21" t="str">
        <x:f>IF(48&gt;B$4,"",INDEX(Tareas!$A$6:$A$205,MATCH(B$5&amp;"_"&amp;48,Tareas!$N$6:$N$205,0),1)&amp;" · "&amp;INDEX(Tareas!$D$6:$D$205,MATCH(B$5&amp;"_"&amp;48,Tareas!$N$6:$N$205,0),1)&amp;CHAR(10)&amp;INDEX(Tareas!$C$6:$C$205,MATCH(B$5&amp;"_"&amp;48,Tareas!$N$6:$N$205,0),1)&amp;CHAR(10)&amp;INDEX(Tareas!$E$6:$E$205,MATCH(B$5&amp;"_"&amp;48,Tareas!$N$6:$N$205,0),1)&amp;CHAR(10)&amp;INDEX(Tareas!$O$6:$O$205,MATCH(B$5&amp;"_"&amp;48,Tareas!$N$6:$N$205,0),1))</x:f>
      </x:c>
      <x:c r="C53" s="21" t="str">
        <x:f>IF(48&gt;C$4,"",INDEX(Tareas!$A$6:$A$205,MATCH(C$5&amp;"_"&amp;48,Tareas!$N$6:$N$205,0),1)&amp;" · "&amp;INDEX(Tareas!$D$6:$D$205,MATCH(C$5&amp;"_"&amp;48,Tareas!$N$6:$N$205,0),1)&amp;CHAR(10)&amp;INDEX(Tareas!$C$6:$C$205,MATCH(C$5&amp;"_"&amp;48,Tareas!$N$6:$N$205,0),1)&amp;CHAR(10)&amp;INDEX(Tareas!$E$6:$E$205,MATCH(C$5&amp;"_"&amp;48,Tareas!$N$6:$N$205,0),1)&amp;CHAR(10)&amp;INDEX(Tareas!$O$6:$O$205,MATCH(C$5&amp;"_"&amp;48,Tareas!$N$6:$N$205,0),1))</x:f>
      </x:c>
      <x:c r="D53" s="21" t="str">
        <x:f>IF(48&gt;D$4,"",INDEX(Tareas!$A$6:$A$205,MATCH(D$5&amp;"_"&amp;48,Tareas!$N$6:$N$205,0),1)&amp;" · "&amp;INDEX(Tareas!$D$6:$D$205,MATCH(D$5&amp;"_"&amp;48,Tareas!$N$6:$N$205,0),1)&amp;CHAR(10)&amp;INDEX(Tareas!$C$6:$C$205,MATCH(D$5&amp;"_"&amp;48,Tareas!$N$6:$N$205,0),1)&amp;CHAR(10)&amp;INDEX(Tareas!$E$6:$E$205,MATCH(D$5&amp;"_"&amp;48,Tareas!$N$6:$N$205,0),1)&amp;CHAR(10)&amp;INDEX(Tareas!$O$6:$O$205,MATCH(D$5&amp;"_"&amp;48,Tareas!$N$6:$N$205,0),1))</x:f>
      </x:c>
      <x:c r="E53" s="21" t="str">
        <x:f>IF(48&gt;E$4,"",INDEX(Tareas!$A$6:$A$205,MATCH(E$5&amp;"_"&amp;48,Tareas!$N$6:$N$205,0),1)&amp;" · "&amp;INDEX(Tareas!$D$6:$D$205,MATCH(E$5&amp;"_"&amp;48,Tareas!$N$6:$N$205,0),1)&amp;CHAR(10)&amp;INDEX(Tareas!$C$6:$C$205,MATCH(E$5&amp;"_"&amp;48,Tareas!$N$6:$N$205,0),1)&amp;CHAR(10)&amp;INDEX(Tareas!$E$6:$E$205,MATCH(E$5&amp;"_"&amp;48,Tareas!$N$6:$N$205,0),1)&amp;CHAR(10)&amp;INDEX(Tareas!$O$6:$O$205,MATCH(E$5&amp;"_"&amp;48,Tareas!$N$6:$N$205,0),1))</x:f>
      </x:c>
      <x:c r="F53" s="21" t="str">
        <x:f>IF(48&gt;F$4,"",INDEX(Tareas!$A$6:$A$205,MATCH(F$5&amp;"_"&amp;48,Tareas!$N$6:$N$205,0),1)&amp;" · "&amp;INDEX(Tareas!$D$6:$D$205,MATCH(F$5&amp;"_"&amp;48,Tareas!$N$6:$N$205,0),1)&amp;CHAR(10)&amp;INDEX(Tareas!$C$6:$C$205,MATCH(F$5&amp;"_"&amp;48,Tareas!$N$6:$N$205,0),1)&amp;CHAR(10)&amp;INDEX(Tareas!$E$6:$E$205,MATCH(F$5&amp;"_"&amp;48,Tareas!$N$6:$N$205,0),1)&amp;CHAR(10)&amp;INDEX(Tareas!$O$6:$O$205,MATCH(F$5&amp;"_"&amp;48,Tareas!$N$6:$N$205,0),1))</x:f>
      </x:c>
    </x:row>
    <x:row r="54" ht="76" customHeight="1">
      <x:c r="A54" s="21" t="str">
        <x:f>IF(49&gt;A$4,"",INDEX(Tareas!$A$6:$A$205,MATCH(A$5&amp;"_"&amp;49,Tareas!$N$6:$N$205,0),1)&amp;" · "&amp;INDEX(Tareas!$D$6:$D$205,MATCH(A$5&amp;"_"&amp;49,Tareas!$N$6:$N$205,0),1)&amp;CHAR(10)&amp;INDEX(Tareas!$C$6:$C$205,MATCH(A$5&amp;"_"&amp;49,Tareas!$N$6:$N$205,0),1)&amp;CHAR(10)&amp;INDEX(Tareas!$E$6:$E$205,MATCH(A$5&amp;"_"&amp;49,Tareas!$N$6:$N$205,0),1)&amp;CHAR(10)&amp;INDEX(Tareas!$O$6:$O$205,MATCH(A$5&amp;"_"&amp;49,Tareas!$N$6:$N$205,0),1))</x:f>
      </x:c>
      <x:c r="B54" s="21" t="str">
        <x:f>IF(49&gt;B$4,"",INDEX(Tareas!$A$6:$A$205,MATCH(B$5&amp;"_"&amp;49,Tareas!$N$6:$N$205,0),1)&amp;" · "&amp;INDEX(Tareas!$D$6:$D$205,MATCH(B$5&amp;"_"&amp;49,Tareas!$N$6:$N$205,0),1)&amp;CHAR(10)&amp;INDEX(Tareas!$C$6:$C$205,MATCH(B$5&amp;"_"&amp;49,Tareas!$N$6:$N$205,0),1)&amp;CHAR(10)&amp;INDEX(Tareas!$E$6:$E$205,MATCH(B$5&amp;"_"&amp;49,Tareas!$N$6:$N$205,0),1)&amp;CHAR(10)&amp;INDEX(Tareas!$O$6:$O$205,MATCH(B$5&amp;"_"&amp;49,Tareas!$N$6:$N$205,0),1))</x:f>
      </x:c>
      <x:c r="C54" s="21" t="str">
        <x:f>IF(49&gt;C$4,"",INDEX(Tareas!$A$6:$A$205,MATCH(C$5&amp;"_"&amp;49,Tareas!$N$6:$N$205,0),1)&amp;" · "&amp;INDEX(Tareas!$D$6:$D$205,MATCH(C$5&amp;"_"&amp;49,Tareas!$N$6:$N$205,0),1)&amp;CHAR(10)&amp;INDEX(Tareas!$C$6:$C$205,MATCH(C$5&amp;"_"&amp;49,Tareas!$N$6:$N$205,0),1)&amp;CHAR(10)&amp;INDEX(Tareas!$E$6:$E$205,MATCH(C$5&amp;"_"&amp;49,Tareas!$N$6:$N$205,0),1)&amp;CHAR(10)&amp;INDEX(Tareas!$O$6:$O$205,MATCH(C$5&amp;"_"&amp;49,Tareas!$N$6:$N$205,0),1))</x:f>
      </x:c>
      <x:c r="D54" s="21" t="str">
        <x:f>IF(49&gt;D$4,"",INDEX(Tareas!$A$6:$A$205,MATCH(D$5&amp;"_"&amp;49,Tareas!$N$6:$N$205,0),1)&amp;" · "&amp;INDEX(Tareas!$D$6:$D$205,MATCH(D$5&amp;"_"&amp;49,Tareas!$N$6:$N$205,0),1)&amp;CHAR(10)&amp;INDEX(Tareas!$C$6:$C$205,MATCH(D$5&amp;"_"&amp;49,Tareas!$N$6:$N$205,0),1)&amp;CHAR(10)&amp;INDEX(Tareas!$E$6:$E$205,MATCH(D$5&amp;"_"&amp;49,Tareas!$N$6:$N$205,0),1)&amp;CHAR(10)&amp;INDEX(Tareas!$O$6:$O$205,MATCH(D$5&amp;"_"&amp;49,Tareas!$N$6:$N$205,0),1))</x:f>
      </x:c>
      <x:c r="E54" s="21" t="str">
        <x:f>IF(49&gt;E$4,"",INDEX(Tareas!$A$6:$A$205,MATCH(E$5&amp;"_"&amp;49,Tareas!$N$6:$N$205,0),1)&amp;" · "&amp;INDEX(Tareas!$D$6:$D$205,MATCH(E$5&amp;"_"&amp;49,Tareas!$N$6:$N$205,0),1)&amp;CHAR(10)&amp;INDEX(Tareas!$C$6:$C$205,MATCH(E$5&amp;"_"&amp;49,Tareas!$N$6:$N$205,0),1)&amp;CHAR(10)&amp;INDEX(Tareas!$E$6:$E$205,MATCH(E$5&amp;"_"&amp;49,Tareas!$N$6:$N$205,0),1)&amp;CHAR(10)&amp;INDEX(Tareas!$O$6:$O$205,MATCH(E$5&amp;"_"&amp;49,Tareas!$N$6:$N$205,0),1))</x:f>
      </x:c>
      <x:c r="F54" s="21" t="str">
        <x:f>IF(49&gt;F$4,"",INDEX(Tareas!$A$6:$A$205,MATCH(F$5&amp;"_"&amp;49,Tareas!$N$6:$N$205,0),1)&amp;" · "&amp;INDEX(Tareas!$D$6:$D$205,MATCH(F$5&amp;"_"&amp;49,Tareas!$N$6:$N$205,0),1)&amp;CHAR(10)&amp;INDEX(Tareas!$C$6:$C$205,MATCH(F$5&amp;"_"&amp;49,Tareas!$N$6:$N$205,0),1)&amp;CHAR(10)&amp;INDEX(Tareas!$E$6:$E$205,MATCH(F$5&amp;"_"&amp;49,Tareas!$N$6:$N$205,0),1)&amp;CHAR(10)&amp;INDEX(Tareas!$O$6:$O$205,MATCH(F$5&amp;"_"&amp;49,Tareas!$N$6:$N$205,0),1))</x:f>
      </x:c>
    </x:row>
    <x:row r="55" ht="76" customHeight="1">
      <x:c r="A55" s="21" t="str">
        <x:f>IF(50&gt;A$4,"",INDEX(Tareas!$A$6:$A$205,MATCH(A$5&amp;"_"&amp;50,Tareas!$N$6:$N$205,0),1)&amp;" · "&amp;INDEX(Tareas!$D$6:$D$205,MATCH(A$5&amp;"_"&amp;50,Tareas!$N$6:$N$205,0),1)&amp;CHAR(10)&amp;INDEX(Tareas!$C$6:$C$205,MATCH(A$5&amp;"_"&amp;50,Tareas!$N$6:$N$205,0),1)&amp;CHAR(10)&amp;INDEX(Tareas!$E$6:$E$205,MATCH(A$5&amp;"_"&amp;50,Tareas!$N$6:$N$205,0),1)&amp;CHAR(10)&amp;INDEX(Tareas!$O$6:$O$205,MATCH(A$5&amp;"_"&amp;50,Tareas!$N$6:$N$205,0),1))</x:f>
      </x:c>
      <x:c r="B55" s="21" t="str">
        <x:f>IF(50&gt;B$4,"",INDEX(Tareas!$A$6:$A$205,MATCH(B$5&amp;"_"&amp;50,Tareas!$N$6:$N$205,0),1)&amp;" · "&amp;INDEX(Tareas!$D$6:$D$205,MATCH(B$5&amp;"_"&amp;50,Tareas!$N$6:$N$205,0),1)&amp;CHAR(10)&amp;INDEX(Tareas!$C$6:$C$205,MATCH(B$5&amp;"_"&amp;50,Tareas!$N$6:$N$205,0),1)&amp;CHAR(10)&amp;INDEX(Tareas!$E$6:$E$205,MATCH(B$5&amp;"_"&amp;50,Tareas!$N$6:$N$205,0),1)&amp;CHAR(10)&amp;INDEX(Tareas!$O$6:$O$205,MATCH(B$5&amp;"_"&amp;50,Tareas!$N$6:$N$205,0),1))</x:f>
      </x:c>
      <x:c r="C55" s="21" t="str">
        <x:f>IF(50&gt;C$4,"",INDEX(Tareas!$A$6:$A$205,MATCH(C$5&amp;"_"&amp;50,Tareas!$N$6:$N$205,0),1)&amp;" · "&amp;INDEX(Tareas!$D$6:$D$205,MATCH(C$5&amp;"_"&amp;50,Tareas!$N$6:$N$205,0),1)&amp;CHAR(10)&amp;INDEX(Tareas!$C$6:$C$205,MATCH(C$5&amp;"_"&amp;50,Tareas!$N$6:$N$205,0),1)&amp;CHAR(10)&amp;INDEX(Tareas!$E$6:$E$205,MATCH(C$5&amp;"_"&amp;50,Tareas!$N$6:$N$205,0),1)&amp;CHAR(10)&amp;INDEX(Tareas!$O$6:$O$205,MATCH(C$5&amp;"_"&amp;50,Tareas!$N$6:$N$205,0),1))</x:f>
      </x:c>
      <x:c r="D55" s="21" t="str">
        <x:f>IF(50&gt;D$4,"",INDEX(Tareas!$A$6:$A$205,MATCH(D$5&amp;"_"&amp;50,Tareas!$N$6:$N$205,0),1)&amp;" · "&amp;INDEX(Tareas!$D$6:$D$205,MATCH(D$5&amp;"_"&amp;50,Tareas!$N$6:$N$205,0),1)&amp;CHAR(10)&amp;INDEX(Tareas!$C$6:$C$205,MATCH(D$5&amp;"_"&amp;50,Tareas!$N$6:$N$205,0),1)&amp;CHAR(10)&amp;INDEX(Tareas!$E$6:$E$205,MATCH(D$5&amp;"_"&amp;50,Tareas!$N$6:$N$205,0),1)&amp;CHAR(10)&amp;INDEX(Tareas!$O$6:$O$205,MATCH(D$5&amp;"_"&amp;50,Tareas!$N$6:$N$205,0),1))</x:f>
      </x:c>
      <x:c r="E55" s="21" t="str">
        <x:f>IF(50&gt;E$4,"",INDEX(Tareas!$A$6:$A$205,MATCH(E$5&amp;"_"&amp;50,Tareas!$N$6:$N$205,0),1)&amp;" · "&amp;INDEX(Tareas!$D$6:$D$205,MATCH(E$5&amp;"_"&amp;50,Tareas!$N$6:$N$205,0),1)&amp;CHAR(10)&amp;INDEX(Tareas!$C$6:$C$205,MATCH(E$5&amp;"_"&amp;50,Tareas!$N$6:$N$205,0),1)&amp;CHAR(10)&amp;INDEX(Tareas!$E$6:$E$205,MATCH(E$5&amp;"_"&amp;50,Tareas!$N$6:$N$205,0),1)&amp;CHAR(10)&amp;INDEX(Tareas!$O$6:$O$205,MATCH(E$5&amp;"_"&amp;50,Tareas!$N$6:$N$205,0),1))</x:f>
      </x:c>
      <x:c r="F55" s="21" t="str">
        <x:f>IF(50&gt;F$4,"",INDEX(Tareas!$A$6:$A$205,MATCH(F$5&amp;"_"&amp;50,Tareas!$N$6:$N$205,0),1)&amp;" · "&amp;INDEX(Tareas!$D$6:$D$205,MATCH(F$5&amp;"_"&amp;50,Tareas!$N$6:$N$205,0),1)&amp;CHAR(10)&amp;INDEX(Tareas!$C$6:$C$205,MATCH(F$5&amp;"_"&amp;50,Tareas!$N$6:$N$205,0),1)&amp;CHAR(10)&amp;INDEX(Tareas!$E$6:$E$205,MATCH(F$5&amp;"_"&amp;50,Tareas!$N$6:$N$205,0),1)&amp;CHAR(10)&amp;INDEX(Tareas!$O$6:$O$205,MATCH(F$5&amp;"_"&amp;50,Tareas!$N$6:$N$205,0),1))</x:f>
      </x:c>
    </x:row>
    <x:row r="56" ht="76" customHeight="1">
      <x:c r="A56" s="21" t="str">
        <x:f>IF(51&gt;A$4,"",INDEX(Tareas!$A$6:$A$205,MATCH(A$5&amp;"_"&amp;51,Tareas!$N$6:$N$205,0),1)&amp;" · "&amp;INDEX(Tareas!$D$6:$D$205,MATCH(A$5&amp;"_"&amp;51,Tareas!$N$6:$N$205,0),1)&amp;CHAR(10)&amp;INDEX(Tareas!$C$6:$C$205,MATCH(A$5&amp;"_"&amp;51,Tareas!$N$6:$N$205,0),1)&amp;CHAR(10)&amp;INDEX(Tareas!$E$6:$E$205,MATCH(A$5&amp;"_"&amp;51,Tareas!$N$6:$N$205,0),1)&amp;CHAR(10)&amp;INDEX(Tareas!$O$6:$O$205,MATCH(A$5&amp;"_"&amp;51,Tareas!$N$6:$N$205,0),1))</x:f>
      </x:c>
      <x:c r="B56" s="21" t="str">
        <x:f>IF(51&gt;B$4,"",INDEX(Tareas!$A$6:$A$205,MATCH(B$5&amp;"_"&amp;51,Tareas!$N$6:$N$205,0),1)&amp;" · "&amp;INDEX(Tareas!$D$6:$D$205,MATCH(B$5&amp;"_"&amp;51,Tareas!$N$6:$N$205,0),1)&amp;CHAR(10)&amp;INDEX(Tareas!$C$6:$C$205,MATCH(B$5&amp;"_"&amp;51,Tareas!$N$6:$N$205,0),1)&amp;CHAR(10)&amp;INDEX(Tareas!$E$6:$E$205,MATCH(B$5&amp;"_"&amp;51,Tareas!$N$6:$N$205,0),1)&amp;CHAR(10)&amp;INDEX(Tareas!$O$6:$O$205,MATCH(B$5&amp;"_"&amp;51,Tareas!$N$6:$N$205,0),1))</x:f>
      </x:c>
      <x:c r="C56" s="21" t="str">
        <x:f>IF(51&gt;C$4,"",INDEX(Tareas!$A$6:$A$205,MATCH(C$5&amp;"_"&amp;51,Tareas!$N$6:$N$205,0),1)&amp;" · "&amp;INDEX(Tareas!$D$6:$D$205,MATCH(C$5&amp;"_"&amp;51,Tareas!$N$6:$N$205,0),1)&amp;CHAR(10)&amp;INDEX(Tareas!$C$6:$C$205,MATCH(C$5&amp;"_"&amp;51,Tareas!$N$6:$N$205,0),1)&amp;CHAR(10)&amp;INDEX(Tareas!$E$6:$E$205,MATCH(C$5&amp;"_"&amp;51,Tareas!$N$6:$N$205,0),1)&amp;CHAR(10)&amp;INDEX(Tareas!$O$6:$O$205,MATCH(C$5&amp;"_"&amp;51,Tareas!$N$6:$N$205,0),1))</x:f>
      </x:c>
      <x:c r="D56" s="21" t="str">
        <x:f>IF(51&gt;D$4,"",INDEX(Tareas!$A$6:$A$205,MATCH(D$5&amp;"_"&amp;51,Tareas!$N$6:$N$205,0),1)&amp;" · "&amp;INDEX(Tareas!$D$6:$D$205,MATCH(D$5&amp;"_"&amp;51,Tareas!$N$6:$N$205,0),1)&amp;CHAR(10)&amp;INDEX(Tareas!$C$6:$C$205,MATCH(D$5&amp;"_"&amp;51,Tareas!$N$6:$N$205,0),1)&amp;CHAR(10)&amp;INDEX(Tareas!$E$6:$E$205,MATCH(D$5&amp;"_"&amp;51,Tareas!$N$6:$N$205,0),1)&amp;CHAR(10)&amp;INDEX(Tareas!$O$6:$O$205,MATCH(D$5&amp;"_"&amp;51,Tareas!$N$6:$N$205,0),1))</x:f>
      </x:c>
      <x:c r="E56" s="21" t="str">
        <x:f>IF(51&gt;E$4,"",INDEX(Tareas!$A$6:$A$205,MATCH(E$5&amp;"_"&amp;51,Tareas!$N$6:$N$205,0),1)&amp;" · "&amp;INDEX(Tareas!$D$6:$D$205,MATCH(E$5&amp;"_"&amp;51,Tareas!$N$6:$N$205,0),1)&amp;CHAR(10)&amp;INDEX(Tareas!$C$6:$C$205,MATCH(E$5&amp;"_"&amp;51,Tareas!$N$6:$N$205,0),1)&amp;CHAR(10)&amp;INDEX(Tareas!$E$6:$E$205,MATCH(E$5&amp;"_"&amp;51,Tareas!$N$6:$N$205,0),1)&amp;CHAR(10)&amp;INDEX(Tareas!$O$6:$O$205,MATCH(E$5&amp;"_"&amp;51,Tareas!$N$6:$N$205,0),1))</x:f>
      </x:c>
      <x:c r="F56" s="21" t="str">
        <x:f>IF(51&gt;F$4,"",INDEX(Tareas!$A$6:$A$205,MATCH(F$5&amp;"_"&amp;51,Tareas!$N$6:$N$205,0),1)&amp;" · "&amp;INDEX(Tareas!$D$6:$D$205,MATCH(F$5&amp;"_"&amp;51,Tareas!$N$6:$N$205,0),1)&amp;CHAR(10)&amp;INDEX(Tareas!$C$6:$C$205,MATCH(F$5&amp;"_"&amp;51,Tareas!$N$6:$N$205,0),1)&amp;CHAR(10)&amp;INDEX(Tareas!$E$6:$E$205,MATCH(F$5&amp;"_"&amp;51,Tareas!$N$6:$N$205,0),1)&amp;CHAR(10)&amp;INDEX(Tareas!$O$6:$O$205,MATCH(F$5&amp;"_"&amp;51,Tareas!$N$6:$N$205,0),1))</x:f>
      </x:c>
    </x:row>
    <x:row r="57" ht="76" customHeight="1">
      <x:c r="A57" s="21" t="str">
        <x:f>IF(52&gt;A$4,"",INDEX(Tareas!$A$6:$A$205,MATCH(A$5&amp;"_"&amp;52,Tareas!$N$6:$N$205,0),1)&amp;" · "&amp;INDEX(Tareas!$D$6:$D$205,MATCH(A$5&amp;"_"&amp;52,Tareas!$N$6:$N$205,0),1)&amp;CHAR(10)&amp;INDEX(Tareas!$C$6:$C$205,MATCH(A$5&amp;"_"&amp;52,Tareas!$N$6:$N$205,0),1)&amp;CHAR(10)&amp;INDEX(Tareas!$E$6:$E$205,MATCH(A$5&amp;"_"&amp;52,Tareas!$N$6:$N$205,0),1)&amp;CHAR(10)&amp;INDEX(Tareas!$O$6:$O$205,MATCH(A$5&amp;"_"&amp;52,Tareas!$N$6:$N$205,0),1))</x:f>
      </x:c>
      <x:c r="B57" s="21" t="str">
        <x:f>IF(52&gt;B$4,"",INDEX(Tareas!$A$6:$A$205,MATCH(B$5&amp;"_"&amp;52,Tareas!$N$6:$N$205,0),1)&amp;" · "&amp;INDEX(Tareas!$D$6:$D$205,MATCH(B$5&amp;"_"&amp;52,Tareas!$N$6:$N$205,0),1)&amp;CHAR(10)&amp;INDEX(Tareas!$C$6:$C$205,MATCH(B$5&amp;"_"&amp;52,Tareas!$N$6:$N$205,0),1)&amp;CHAR(10)&amp;INDEX(Tareas!$E$6:$E$205,MATCH(B$5&amp;"_"&amp;52,Tareas!$N$6:$N$205,0),1)&amp;CHAR(10)&amp;INDEX(Tareas!$O$6:$O$205,MATCH(B$5&amp;"_"&amp;52,Tareas!$N$6:$N$205,0),1))</x:f>
      </x:c>
      <x:c r="C57" s="21" t="str">
        <x:f>IF(52&gt;C$4,"",INDEX(Tareas!$A$6:$A$205,MATCH(C$5&amp;"_"&amp;52,Tareas!$N$6:$N$205,0),1)&amp;" · "&amp;INDEX(Tareas!$D$6:$D$205,MATCH(C$5&amp;"_"&amp;52,Tareas!$N$6:$N$205,0),1)&amp;CHAR(10)&amp;INDEX(Tareas!$C$6:$C$205,MATCH(C$5&amp;"_"&amp;52,Tareas!$N$6:$N$205,0),1)&amp;CHAR(10)&amp;INDEX(Tareas!$E$6:$E$205,MATCH(C$5&amp;"_"&amp;52,Tareas!$N$6:$N$205,0),1)&amp;CHAR(10)&amp;INDEX(Tareas!$O$6:$O$205,MATCH(C$5&amp;"_"&amp;52,Tareas!$N$6:$N$205,0),1))</x:f>
      </x:c>
      <x:c r="D57" s="21" t="str">
        <x:f>IF(52&gt;D$4,"",INDEX(Tareas!$A$6:$A$205,MATCH(D$5&amp;"_"&amp;52,Tareas!$N$6:$N$205,0),1)&amp;" · "&amp;INDEX(Tareas!$D$6:$D$205,MATCH(D$5&amp;"_"&amp;52,Tareas!$N$6:$N$205,0),1)&amp;CHAR(10)&amp;INDEX(Tareas!$C$6:$C$205,MATCH(D$5&amp;"_"&amp;52,Tareas!$N$6:$N$205,0),1)&amp;CHAR(10)&amp;INDEX(Tareas!$E$6:$E$205,MATCH(D$5&amp;"_"&amp;52,Tareas!$N$6:$N$205,0),1)&amp;CHAR(10)&amp;INDEX(Tareas!$O$6:$O$205,MATCH(D$5&amp;"_"&amp;52,Tareas!$N$6:$N$205,0),1))</x:f>
      </x:c>
      <x:c r="E57" s="21" t="str">
        <x:f>IF(52&gt;E$4,"",INDEX(Tareas!$A$6:$A$205,MATCH(E$5&amp;"_"&amp;52,Tareas!$N$6:$N$205,0),1)&amp;" · "&amp;INDEX(Tareas!$D$6:$D$205,MATCH(E$5&amp;"_"&amp;52,Tareas!$N$6:$N$205,0),1)&amp;CHAR(10)&amp;INDEX(Tareas!$C$6:$C$205,MATCH(E$5&amp;"_"&amp;52,Tareas!$N$6:$N$205,0),1)&amp;CHAR(10)&amp;INDEX(Tareas!$E$6:$E$205,MATCH(E$5&amp;"_"&amp;52,Tareas!$N$6:$N$205,0),1)&amp;CHAR(10)&amp;INDEX(Tareas!$O$6:$O$205,MATCH(E$5&amp;"_"&amp;52,Tareas!$N$6:$N$205,0),1))</x:f>
      </x:c>
      <x:c r="F57" s="21" t="str">
        <x:f>IF(52&gt;F$4,"",INDEX(Tareas!$A$6:$A$205,MATCH(F$5&amp;"_"&amp;52,Tareas!$N$6:$N$205,0),1)&amp;" · "&amp;INDEX(Tareas!$D$6:$D$205,MATCH(F$5&amp;"_"&amp;52,Tareas!$N$6:$N$205,0),1)&amp;CHAR(10)&amp;INDEX(Tareas!$C$6:$C$205,MATCH(F$5&amp;"_"&amp;52,Tareas!$N$6:$N$205,0),1)&amp;CHAR(10)&amp;INDEX(Tareas!$E$6:$E$205,MATCH(F$5&amp;"_"&amp;52,Tareas!$N$6:$N$205,0),1)&amp;CHAR(10)&amp;INDEX(Tareas!$O$6:$O$205,MATCH(F$5&amp;"_"&amp;52,Tareas!$N$6:$N$205,0),1))</x:f>
      </x:c>
    </x:row>
    <x:row r="58" ht="76" customHeight="1">
      <x:c r="A58" s="21" t="str">
        <x:f>IF(53&gt;A$4,"",INDEX(Tareas!$A$6:$A$205,MATCH(A$5&amp;"_"&amp;53,Tareas!$N$6:$N$205,0),1)&amp;" · "&amp;INDEX(Tareas!$D$6:$D$205,MATCH(A$5&amp;"_"&amp;53,Tareas!$N$6:$N$205,0),1)&amp;CHAR(10)&amp;INDEX(Tareas!$C$6:$C$205,MATCH(A$5&amp;"_"&amp;53,Tareas!$N$6:$N$205,0),1)&amp;CHAR(10)&amp;INDEX(Tareas!$E$6:$E$205,MATCH(A$5&amp;"_"&amp;53,Tareas!$N$6:$N$205,0),1)&amp;CHAR(10)&amp;INDEX(Tareas!$O$6:$O$205,MATCH(A$5&amp;"_"&amp;53,Tareas!$N$6:$N$205,0),1))</x:f>
      </x:c>
      <x:c r="B58" s="21" t="str">
        <x:f>IF(53&gt;B$4,"",INDEX(Tareas!$A$6:$A$205,MATCH(B$5&amp;"_"&amp;53,Tareas!$N$6:$N$205,0),1)&amp;" · "&amp;INDEX(Tareas!$D$6:$D$205,MATCH(B$5&amp;"_"&amp;53,Tareas!$N$6:$N$205,0),1)&amp;CHAR(10)&amp;INDEX(Tareas!$C$6:$C$205,MATCH(B$5&amp;"_"&amp;53,Tareas!$N$6:$N$205,0),1)&amp;CHAR(10)&amp;INDEX(Tareas!$E$6:$E$205,MATCH(B$5&amp;"_"&amp;53,Tareas!$N$6:$N$205,0),1)&amp;CHAR(10)&amp;INDEX(Tareas!$O$6:$O$205,MATCH(B$5&amp;"_"&amp;53,Tareas!$N$6:$N$205,0),1))</x:f>
      </x:c>
      <x:c r="C58" s="21" t="str">
        <x:f>IF(53&gt;C$4,"",INDEX(Tareas!$A$6:$A$205,MATCH(C$5&amp;"_"&amp;53,Tareas!$N$6:$N$205,0),1)&amp;" · "&amp;INDEX(Tareas!$D$6:$D$205,MATCH(C$5&amp;"_"&amp;53,Tareas!$N$6:$N$205,0),1)&amp;CHAR(10)&amp;INDEX(Tareas!$C$6:$C$205,MATCH(C$5&amp;"_"&amp;53,Tareas!$N$6:$N$205,0),1)&amp;CHAR(10)&amp;INDEX(Tareas!$E$6:$E$205,MATCH(C$5&amp;"_"&amp;53,Tareas!$N$6:$N$205,0),1)&amp;CHAR(10)&amp;INDEX(Tareas!$O$6:$O$205,MATCH(C$5&amp;"_"&amp;53,Tareas!$N$6:$N$205,0),1))</x:f>
      </x:c>
      <x:c r="D58" s="21" t="str">
        <x:f>IF(53&gt;D$4,"",INDEX(Tareas!$A$6:$A$205,MATCH(D$5&amp;"_"&amp;53,Tareas!$N$6:$N$205,0),1)&amp;" · "&amp;INDEX(Tareas!$D$6:$D$205,MATCH(D$5&amp;"_"&amp;53,Tareas!$N$6:$N$205,0),1)&amp;CHAR(10)&amp;INDEX(Tareas!$C$6:$C$205,MATCH(D$5&amp;"_"&amp;53,Tareas!$N$6:$N$205,0),1)&amp;CHAR(10)&amp;INDEX(Tareas!$E$6:$E$205,MATCH(D$5&amp;"_"&amp;53,Tareas!$N$6:$N$205,0),1)&amp;CHAR(10)&amp;INDEX(Tareas!$O$6:$O$205,MATCH(D$5&amp;"_"&amp;53,Tareas!$N$6:$N$205,0),1))</x:f>
      </x:c>
      <x:c r="E58" s="21" t="str">
        <x:f>IF(53&gt;E$4,"",INDEX(Tareas!$A$6:$A$205,MATCH(E$5&amp;"_"&amp;53,Tareas!$N$6:$N$205,0),1)&amp;" · "&amp;INDEX(Tareas!$D$6:$D$205,MATCH(E$5&amp;"_"&amp;53,Tareas!$N$6:$N$205,0),1)&amp;CHAR(10)&amp;INDEX(Tareas!$C$6:$C$205,MATCH(E$5&amp;"_"&amp;53,Tareas!$N$6:$N$205,0),1)&amp;CHAR(10)&amp;INDEX(Tareas!$E$6:$E$205,MATCH(E$5&amp;"_"&amp;53,Tareas!$N$6:$N$205,0),1)&amp;CHAR(10)&amp;INDEX(Tareas!$O$6:$O$205,MATCH(E$5&amp;"_"&amp;53,Tareas!$N$6:$N$205,0),1))</x:f>
      </x:c>
      <x:c r="F58" s="21" t="str">
        <x:f>IF(53&gt;F$4,"",INDEX(Tareas!$A$6:$A$205,MATCH(F$5&amp;"_"&amp;53,Tareas!$N$6:$N$205,0),1)&amp;" · "&amp;INDEX(Tareas!$D$6:$D$205,MATCH(F$5&amp;"_"&amp;53,Tareas!$N$6:$N$205,0),1)&amp;CHAR(10)&amp;INDEX(Tareas!$C$6:$C$205,MATCH(F$5&amp;"_"&amp;53,Tareas!$N$6:$N$205,0),1)&amp;CHAR(10)&amp;INDEX(Tareas!$E$6:$E$205,MATCH(F$5&amp;"_"&amp;53,Tareas!$N$6:$N$205,0),1)&amp;CHAR(10)&amp;INDEX(Tareas!$O$6:$O$205,MATCH(F$5&amp;"_"&amp;53,Tareas!$N$6:$N$205,0),1))</x:f>
      </x:c>
    </x:row>
    <x:row r="59" ht="76" customHeight="1">
      <x:c r="A59" s="21" t="str">
        <x:f>IF(54&gt;A$4,"",INDEX(Tareas!$A$6:$A$205,MATCH(A$5&amp;"_"&amp;54,Tareas!$N$6:$N$205,0),1)&amp;" · "&amp;INDEX(Tareas!$D$6:$D$205,MATCH(A$5&amp;"_"&amp;54,Tareas!$N$6:$N$205,0),1)&amp;CHAR(10)&amp;INDEX(Tareas!$C$6:$C$205,MATCH(A$5&amp;"_"&amp;54,Tareas!$N$6:$N$205,0),1)&amp;CHAR(10)&amp;INDEX(Tareas!$E$6:$E$205,MATCH(A$5&amp;"_"&amp;54,Tareas!$N$6:$N$205,0),1)&amp;CHAR(10)&amp;INDEX(Tareas!$O$6:$O$205,MATCH(A$5&amp;"_"&amp;54,Tareas!$N$6:$N$205,0),1))</x:f>
      </x:c>
      <x:c r="B59" s="21" t="str">
        <x:f>IF(54&gt;B$4,"",INDEX(Tareas!$A$6:$A$205,MATCH(B$5&amp;"_"&amp;54,Tareas!$N$6:$N$205,0),1)&amp;" · "&amp;INDEX(Tareas!$D$6:$D$205,MATCH(B$5&amp;"_"&amp;54,Tareas!$N$6:$N$205,0),1)&amp;CHAR(10)&amp;INDEX(Tareas!$C$6:$C$205,MATCH(B$5&amp;"_"&amp;54,Tareas!$N$6:$N$205,0),1)&amp;CHAR(10)&amp;INDEX(Tareas!$E$6:$E$205,MATCH(B$5&amp;"_"&amp;54,Tareas!$N$6:$N$205,0),1)&amp;CHAR(10)&amp;INDEX(Tareas!$O$6:$O$205,MATCH(B$5&amp;"_"&amp;54,Tareas!$N$6:$N$205,0),1))</x:f>
      </x:c>
      <x:c r="C59" s="21" t="str">
        <x:f>IF(54&gt;C$4,"",INDEX(Tareas!$A$6:$A$205,MATCH(C$5&amp;"_"&amp;54,Tareas!$N$6:$N$205,0),1)&amp;" · "&amp;INDEX(Tareas!$D$6:$D$205,MATCH(C$5&amp;"_"&amp;54,Tareas!$N$6:$N$205,0),1)&amp;CHAR(10)&amp;INDEX(Tareas!$C$6:$C$205,MATCH(C$5&amp;"_"&amp;54,Tareas!$N$6:$N$205,0),1)&amp;CHAR(10)&amp;INDEX(Tareas!$E$6:$E$205,MATCH(C$5&amp;"_"&amp;54,Tareas!$N$6:$N$205,0),1)&amp;CHAR(10)&amp;INDEX(Tareas!$O$6:$O$205,MATCH(C$5&amp;"_"&amp;54,Tareas!$N$6:$N$205,0),1))</x:f>
      </x:c>
      <x:c r="D59" s="21" t="str">
        <x:f>IF(54&gt;D$4,"",INDEX(Tareas!$A$6:$A$205,MATCH(D$5&amp;"_"&amp;54,Tareas!$N$6:$N$205,0),1)&amp;" · "&amp;INDEX(Tareas!$D$6:$D$205,MATCH(D$5&amp;"_"&amp;54,Tareas!$N$6:$N$205,0),1)&amp;CHAR(10)&amp;INDEX(Tareas!$C$6:$C$205,MATCH(D$5&amp;"_"&amp;54,Tareas!$N$6:$N$205,0),1)&amp;CHAR(10)&amp;INDEX(Tareas!$E$6:$E$205,MATCH(D$5&amp;"_"&amp;54,Tareas!$N$6:$N$205,0),1)&amp;CHAR(10)&amp;INDEX(Tareas!$O$6:$O$205,MATCH(D$5&amp;"_"&amp;54,Tareas!$N$6:$N$205,0),1))</x:f>
      </x:c>
      <x:c r="E59" s="21" t="str">
        <x:f>IF(54&gt;E$4,"",INDEX(Tareas!$A$6:$A$205,MATCH(E$5&amp;"_"&amp;54,Tareas!$N$6:$N$205,0),1)&amp;" · "&amp;INDEX(Tareas!$D$6:$D$205,MATCH(E$5&amp;"_"&amp;54,Tareas!$N$6:$N$205,0),1)&amp;CHAR(10)&amp;INDEX(Tareas!$C$6:$C$205,MATCH(E$5&amp;"_"&amp;54,Tareas!$N$6:$N$205,0),1)&amp;CHAR(10)&amp;INDEX(Tareas!$E$6:$E$205,MATCH(E$5&amp;"_"&amp;54,Tareas!$N$6:$N$205,0),1)&amp;CHAR(10)&amp;INDEX(Tareas!$O$6:$O$205,MATCH(E$5&amp;"_"&amp;54,Tareas!$N$6:$N$205,0),1))</x:f>
      </x:c>
      <x:c r="F59" s="21" t="str">
        <x:f>IF(54&gt;F$4,"",INDEX(Tareas!$A$6:$A$205,MATCH(F$5&amp;"_"&amp;54,Tareas!$N$6:$N$205,0),1)&amp;" · "&amp;INDEX(Tareas!$D$6:$D$205,MATCH(F$5&amp;"_"&amp;54,Tareas!$N$6:$N$205,0),1)&amp;CHAR(10)&amp;INDEX(Tareas!$C$6:$C$205,MATCH(F$5&amp;"_"&amp;54,Tareas!$N$6:$N$205,0),1)&amp;CHAR(10)&amp;INDEX(Tareas!$E$6:$E$205,MATCH(F$5&amp;"_"&amp;54,Tareas!$N$6:$N$205,0),1)&amp;CHAR(10)&amp;INDEX(Tareas!$O$6:$O$205,MATCH(F$5&amp;"_"&amp;54,Tareas!$N$6:$N$205,0),1))</x:f>
      </x:c>
    </x:row>
    <x:row r="60" ht="76" customHeight="1">
      <x:c r="A60" s="21" t="str">
        <x:f>IF(55&gt;A$4,"",INDEX(Tareas!$A$6:$A$205,MATCH(A$5&amp;"_"&amp;55,Tareas!$N$6:$N$205,0),1)&amp;" · "&amp;INDEX(Tareas!$D$6:$D$205,MATCH(A$5&amp;"_"&amp;55,Tareas!$N$6:$N$205,0),1)&amp;CHAR(10)&amp;INDEX(Tareas!$C$6:$C$205,MATCH(A$5&amp;"_"&amp;55,Tareas!$N$6:$N$205,0),1)&amp;CHAR(10)&amp;INDEX(Tareas!$E$6:$E$205,MATCH(A$5&amp;"_"&amp;55,Tareas!$N$6:$N$205,0),1)&amp;CHAR(10)&amp;INDEX(Tareas!$O$6:$O$205,MATCH(A$5&amp;"_"&amp;55,Tareas!$N$6:$N$205,0),1))</x:f>
      </x:c>
      <x:c r="B60" s="21" t="str">
        <x:f>IF(55&gt;B$4,"",INDEX(Tareas!$A$6:$A$205,MATCH(B$5&amp;"_"&amp;55,Tareas!$N$6:$N$205,0),1)&amp;" · "&amp;INDEX(Tareas!$D$6:$D$205,MATCH(B$5&amp;"_"&amp;55,Tareas!$N$6:$N$205,0),1)&amp;CHAR(10)&amp;INDEX(Tareas!$C$6:$C$205,MATCH(B$5&amp;"_"&amp;55,Tareas!$N$6:$N$205,0),1)&amp;CHAR(10)&amp;INDEX(Tareas!$E$6:$E$205,MATCH(B$5&amp;"_"&amp;55,Tareas!$N$6:$N$205,0),1)&amp;CHAR(10)&amp;INDEX(Tareas!$O$6:$O$205,MATCH(B$5&amp;"_"&amp;55,Tareas!$N$6:$N$205,0),1))</x:f>
      </x:c>
      <x:c r="C60" s="21" t="str">
        <x:f>IF(55&gt;C$4,"",INDEX(Tareas!$A$6:$A$205,MATCH(C$5&amp;"_"&amp;55,Tareas!$N$6:$N$205,0),1)&amp;" · "&amp;INDEX(Tareas!$D$6:$D$205,MATCH(C$5&amp;"_"&amp;55,Tareas!$N$6:$N$205,0),1)&amp;CHAR(10)&amp;INDEX(Tareas!$C$6:$C$205,MATCH(C$5&amp;"_"&amp;55,Tareas!$N$6:$N$205,0),1)&amp;CHAR(10)&amp;INDEX(Tareas!$E$6:$E$205,MATCH(C$5&amp;"_"&amp;55,Tareas!$N$6:$N$205,0),1)&amp;CHAR(10)&amp;INDEX(Tareas!$O$6:$O$205,MATCH(C$5&amp;"_"&amp;55,Tareas!$N$6:$N$205,0),1))</x:f>
      </x:c>
      <x:c r="D60" s="21" t="str">
        <x:f>IF(55&gt;D$4,"",INDEX(Tareas!$A$6:$A$205,MATCH(D$5&amp;"_"&amp;55,Tareas!$N$6:$N$205,0),1)&amp;" · "&amp;INDEX(Tareas!$D$6:$D$205,MATCH(D$5&amp;"_"&amp;55,Tareas!$N$6:$N$205,0),1)&amp;CHAR(10)&amp;INDEX(Tareas!$C$6:$C$205,MATCH(D$5&amp;"_"&amp;55,Tareas!$N$6:$N$205,0),1)&amp;CHAR(10)&amp;INDEX(Tareas!$E$6:$E$205,MATCH(D$5&amp;"_"&amp;55,Tareas!$N$6:$N$205,0),1)&amp;CHAR(10)&amp;INDEX(Tareas!$O$6:$O$205,MATCH(D$5&amp;"_"&amp;55,Tareas!$N$6:$N$205,0),1))</x:f>
      </x:c>
      <x:c r="E60" s="21" t="str">
        <x:f>IF(55&gt;E$4,"",INDEX(Tareas!$A$6:$A$205,MATCH(E$5&amp;"_"&amp;55,Tareas!$N$6:$N$205,0),1)&amp;" · "&amp;INDEX(Tareas!$D$6:$D$205,MATCH(E$5&amp;"_"&amp;55,Tareas!$N$6:$N$205,0),1)&amp;CHAR(10)&amp;INDEX(Tareas!$C$6:$C$205,MATCH(E$5&amp;"_"&amp;55,Tareas!$N$6:$N$205,0),1)&amp;CHAR(10)&amp;INDEX(Tareas!$E$6:$E$205,MATCH(E$5&amp;"_"&amp;55,Tareas!$N$6:$N$205,0),1)&amp;CHAR(10)&amp;INDEX(Tareas!$O$6:$O$205,MATCH(E$5&amp;"_"&amp;55,Tareas!$N$6:$N$205,0),1))</x:f>
      </x:c>
      <x:c r="F60" s="21" t="str">
        <x:f>IF(55&gt;F$4,"",INDEX(Tareas!$A$6:$A$205,MATCH(F$5&amp;"_"&amp;55,Tareas!$N$6:$N$205,0),1)&amp;" · "&amp;INDEX(Tareas!$D$6:$D$205,MATCH(F$5&amp;"_"&amp;55,Tareas!$N$6:$N$205,0),1)&amp;CHAR(10)&amp;INDEX(Tareas!$C$6:$C$205,MATCH(F$5&amp;"_"&amp;55,Tareas!$N$6:$N$205,0),1)&amp;CHAR(10)&amp;INDEX(Tareas!$E$6:$E$205,MATCH(F$5&amp;"_"&amp;55,Tareas!$N$6:$N$205,0),1)&amp;CHAR(10)&amp;INDEX(Tareas!$O$6:$O$205,MATCH(F$5&amp;"_"&amp;55,Tareas!$N$6:$N$205,0),1))</x:f>
      </x:c>
    </x:row>
    <x:row r="61" ht="76" customHeight="1">
      <x:c r="A61" s="21" t="str">
        <x:f>IF(56&gt;A$4,"",INDEX(Tareas!$A$6:$A$205,MATCH(A$5&amp;"_"&amp;56,Tareas!$N$6:$N$205,0),1)&amp;" · "&amp;INDEX(Tareas!$D$6:$D$205,MATCH(A$5&amp;"_"&amp;56,Tareas!$N$6:$N$205,0),1)&amp;CHAR(10)&amp;INDEX(Tareas!$C$6:$C$205,MATCH(A$5&amp;"_"&amp;56,Tareas!$N$6:$N$205,0),1)&amp;CHAR(10)&amp;INDEX(Tareas!$E$6:$E$205,MATCH(A$5&amp;"_"&amp;56,Tareas!$N$6:$N$205,0),1)&amp;CHAR(10)&amp;INDEX(Tareas!$O$6:$O$205,MATCH(A$5&amp;"_"&amp;56,Tareas!$N$6:$N$205,0),1))</x:f>
      </x:c>
      <x:c r="B61" s="21" t="str">
        <x:f>IF(56&gt;B$4,"",INDEX(Tareas!$A$6:$A$205,MATCH(B$5&amp;"_"&amp;56,Tareas!$N$6:$N$205,0),1)&amp;" · "&amp;INDEX(Tareas!$D$6:$D$205,MATCH(B$5&amp;"_"&amp;56,Tareas!$N$6:$N$205,0),1)&amp;CHAR(10)&amp;INDEX(Tareas!$C$6:$C$205,MATCH(B$5&amp;"_"&amp;56,Tareas!$N$6:$N$205,0),1)&amp;CHAR(10)&amp;INDEX(Tareas!$E$6:$E$205,MATCH(B$5&amp;"_"&amp;56,Tareas!$N$6:$N$205,0),1)&amp;CHAR(10)&amp;INDEX(Tareas!$O$6:$O$205,MATCH(B$5&amp;"_"&amp;56,Tareas!$N$6:$N$205,0),1))</x:f>
      </x:c>
      <x:c r="C61" s="21" t="str">
        <x:f>IF(56&gt;C$4,"",INDEX(Tareas!$A$6:$A$205,MATCH(C$5&amp;"_"&amp;56,Tareas!$N$6:$N$205,0),1)&amp;" · "&amp;INDEX(Tareas!$D$6:$D$205,MATCH(C$5&amp;"_"&amp;56,Tareas!$N$6:$N$205,0),1)&amp;CHAR(10)&amp;INDEX(Tareas!$C$6:$C$205,MATCH(C$5&amp;"_"&amp;56,Tareas!$N$6:$N$205,0),1)&amp;CHAR(10)&amp;INDEX(Tareas!$E$6:$E$205,MATCH(C$5&amp;"_"&amp;56,Tareas!$N$6:$N$205,0),1)&amp;CHAR(10)&amp;INDEX(Tareas!$O$6:$O$205,MATCH(C$5&amp;"_"&amp;56,Tareas!$N$6:$N$205,0),1))</x:f>
      </x:c>
      <x:c r="D61" s="21" t="str">
        <x:f>IF(56&gt;D$4,"",INDEX(Tareas!$A$6:$A$205,MATCH(D$5&amp;"_"&amp;56,Tareas!$N$6:$N$205,0),1)&amp;" · "&amp;INDEX(Tareas!$D$6:$D$205,MATCH(D$5&amp;"_"&amp;56,Tareas!$N$6:$N$205,0),1)&amp;CHAR(10)&amp;INDEX(Tareas!$C$6:$C$205,MATCH(D$5&amp;"_"&amp;56,Tareas!$N$6:$N$205,0),1)&amp;CHAR(10)&amp;INDEX(Tareas!$E$6:$E$205,MATCH(D$5&amp;"_"&amp;56,Tareas!$N$6:$N$205,0),1)&amp;CHAR(10)&amp;INDEX(Tareas!$O$6:$O$205,MATCH(D$5&amp;"_"&amp;56,Tareas!$N$6:$N$205,0),1))</x:f>
      </x:c>
      <x:c r="E61" s="21" t="str">
        <x:f>IF(56&gt;E$4,"",INDEX(Tareas!$A$6:$A$205,MATCH(E$5&amp;"_"&amp;56,Tareas!$N$6:$N$205,0),1)&amp;" · "&amp;INDEX(Tareas!$D$6:$D$205,MATCH(E$5&amp;"_"&amp;56,Tareas!$N$6:$N$205,0),1)&amp;CHAR(10)&amp;INDEX(Tareas!$C$6:$C$205,MATCH(E$5&amp;"_"&amp;56,Tareas!$N$6:$N$205,0),1)&amp;CHAR(10)&amp;INDEX(Tareas!$E$6:$E$205,MATCH(E$5&amp;"_"&amp;56,Tareas!$N$6:$N$205,0),1)&amp;CHAR(10)&amp;INDEX(Tareas!$O$6:$O$205,MATCH(E$5&amp;"_"&amp;56,Tareas!$N$6:$N$205,0),1))</x:f>
      </x:c>
      <x:c r="F61" s="21" t="str">
        <x:f>IF(56&gt;F$4,"",INDEX(Tareas!$A$6:$A$205,MATCH(F$5&amp;"_"&amp;56,Tareas!$N$6:$N$205,0),1)&amp;" · "&amp;INDEX(Tareas!$D$6:$D$205,MATCH(F$5&amp;"_"&amp;56,Tareas!$N$6:$N$205,0),1)&amp;CHAR(10)&amp;INDEX(Tareas!$C$6:$C$205,MATCH(F$5&amp;"_"&amp;56,Tareas!$N$6:$N$205,0),1)&amp;CHAR(10)&amp;INDEX(Tareas!$E$6:$E$205,MATCH(F$5&amp;"_"&amp;56,Tareas!$N$6:$N$205,0),1)&amp;CHAR(10)&amp;INDEX(Tareas!$O$6:$O$205,MATCH(F$5&amp;"_"&amp;56,Tareas!$N$6:$N$205,0),1))</x:f>
      </x:c>
    </x:row>
    <x:row r="62" ht="76" customHeight="1">
      <x:c r="A62" s="21" t="str">
        <x:f>IF(57&gt;A$4,"",INDEX(Tareas!$A$6:$A$205,MATCH(A$5&amp;"_"&amp;57,Tareas!$N$6:$N$205,0),1)&amp;" · "&amp;INDEX(Tareas!$D$6:$D$205,MATCH(A$5&amp;"_"&amp;57,Tareas!$N$6:$N$205,0),1)&amp;CHAR(10)&amp;INDEX(Tareas!$C$6:$C$205,MATCH(A$5&amp;"_"&amp;57,Tareas!$N$6:$N$205,0),1)&amp;CHAR(10)&amp;INDEX(Tareas!$E$6:$E$205,MATCH(A$5&amp;"_"&amp;57,Tareas!$N$6:$N$205,0),1)&amp;CHAR(10)&amp;INDEX(Tareas!$O$6:$O$205,MATCH(A$5&amp;"_"&amp;57,Tareas!$N$6:$N$205,0),1))</x:f>
      </x:c>
      <x:c r="B62" s="21" t="str">
        <x:f>IF(57&gt;B$4,"",INDEX(Tareas!$A$6:$A$205,MATCH(B$5&amp;"_"&amp;57,Tareas!$N$6:$N$205,0),1)&amp;" · "&amp;INDEX(Tareas!$D$6:$D$205,MATCH(B$5&amp;"_"&amp;57,Tareas!$N$6:$N$205,0),1)&amp;CHAR(10)&amp;INDEX(Tareas!$C$6:$C$205,MATCH(B$5&amp;"_"&amp;57,Tareas!$N$6:$N$205,0),1)&amp;CHAR(10)&amp;INDEX(Tareas!$E$6:$E$205,MATCH(B$5&amp;"_"&amp;57,Tareas!$N$6:$N$205,0),1)&amp;CHAR(10)&amp;INDEX(Tareas!$O$6:$O$205,MATCH(B$5&amp;"_"&amp;57,Tareas!$N$6:$N$205,0),1))</x:f>
      </x:c>
      <x:c r="C62" s="21" t="str">
        <x:f>IF(57&gt;C$4,"",INDEX(Tareas!$A$6:$A$205,MATCH(C$5&amp;"_"&amp;57,Tareas!$N$6:$N$205,0),1)&amp;" · "&amp;INDEX(Tareas!$D$6:$D$205,MATCH(C$5&amp;"_"&amp;57,Tareas!$N$6:$N$205,0),1)&amp;CHAR(10)&amp;INDEX(Tareas!$C$6:$C$205,MATCH(C$5&amp;"_"&amp;57,Tareas!$N$6:$N$205,0),1)&amp;CHAR(10)&amp;INDEX(Tareas!$E$6:$E$205,MATCH(C$5&amp;"_"&amp;57,Tareas!$N$6:$N$205,0),1)&amp;CHAR(10)&amp;INDEX(Tareas!$O$6:$O$205,MATCH(C$5&amp;"_"&amp;57,Tareas!$N$6:$N$205,0),1))</x:f>
      </x:c>
      <x:c r="D62" s="21" t="str">
        <x:f>IF(57&gt;D$4,"",INDEX(Tareas!$A$6:$A$205,MATCH(D$5&amp;"_"&amp;57,Tareas!$N$6:$N$205,0),1)&amp;" · "&amp;INDEX(Tareas!$D$6:$D$205,MATCH(D$5&amp;"_"&amp;57,Tareas!$N$6:$N$205,0),1)&amp;CHAR(10)&amp;INDEX(Tareas!$C$6:$C$205,MATCH(D$5&amp;"_"&amp;57,Tareas!$N$6:$N$205,0),1)&amp;CHAR(10)&amp;INDEX(Tareas!$E$6:$E$205,MATCH(D$5&amp;"_"&amp;57,Tareas!$N$6:$N$205,0),1)&amp;CHAR(10)&amp;INDEX(Tareas!$O$6:$O$205,MATCH(D$5&amp;"_"&amp;57,Tareas!$N$6:$N$205,0),1))</x:f>
      </x:c>
      <x:c r="E62" s="21" t="str">
        <x:f>IF(57&gt;E$4,"",INDEX(Tareas!$A$6:$A$205,MATCH(E$5&amp;"_"&amp;57,Tareas!$N$6:$N$205,0),1)&amp;" · "&amp;INDEX(Tareas!$D$6:$D$205,MATCH(E$5&amp;"_"&amp;57,Tareas!$N$6:$N$205,0),1)&amp;CHAR(10)&amp;INDEX(Tareas!$C$6:$C$205,MATCH(E$5&amp;"_"&amp;57,Tareas!$N$6:$N$205,0),1)&amp;CHAR(10)&amp;INDEX(Tareas!$E$6:$E$205,MATCH(E$5&amp;"_"&amp;57,Tareas!$N$6:$N$205,0),1)&amp;CHAR(10)&amp;INDEX(Tareas!$O$6:$O$205,MATCH(E$5&amp;"_"&amp;57,Tareas!$N$6:$N$205,0),1))</x:f>
      </x:c>
      <x:c r="F62" s="21" t="str">
        <x:f>IF(57&gt;F$4,"",INDEX(Tareas!$A$6:$A$205,MATCH(F$5&amp;"_"&amp;57,Tareas!$N$6:$N$205,0),1)&amp;" · "&amp;INDEX(Tareas!$D$6:$D$205,MATCH(F$5&amp;"_"&amp;57,Tareas!$N$6:$N$205,0),1)&amp;CHAR(10)&amp;INDEX(Tareas!$C$6:$C$205,MATCH(F$5&amp;"_"&amp;57,Tareas!$N$6:$N$205,0),1)&amp;CHAR(10)&amp;INDEX(Tareas!$E$6:$E$205,MATCH(F$5&amp;"_"&amp;57,Tareas!$N$6:$N$205,0),1)&amp;CHAR(10)&amp;INDEX(Tareas!$O$6:$O$205,MATCH(F$5&amp;"_"&amp;57,Tareas!$N$6:$N$205,0),1))</x:f>
      </x:c>
    </x:row>
    <x:row r="63" ht="76" customHeight="1">
      <x:c r="A63" s="21" t="str">
        <x:f>IF(58&gt;A$4,"",INDEX(Tareas!$A$6:$A$205,MATCH(A$5&amp;"_"&amp;58,Tareas!$N$6:$N$205,0),1)&amp;" · "&amp;INDEX(Tareas!$D$6:$D$205,MATCH(A$5&amp;"_"&amp;58,Tareas!$N$6:$N$205,0),1)&amp;CHAR(10)&amp;INDEX(Tareas!$C$6:$C$205,MATCH(A$5&amp;"_"&amp;58,Tareas!$N$6:$N$205,0),1)&amp;CHAR(10)&amp;INDEX(Tareas!$E$6:$E$205,MATCH(A$5&amp;"_"&amp;58,Tareas!$N$6:$N$205,0),1)&amp;CHAR(10)&amp;INDEX(Tareas!$O$6:$O$205,MATCH(A$5&amp;"_"&amp;58,Tareas!$N$6:$N$205,0),1))</x:f>
      </x:c>
      <x:c r="B63" s="21" t="str">
        <x:f>IF(58&gt;B$4,"",INDEX(Tareas!$A$6:$A$205,MATCH(B$5&amp;"_"&amp;58,Tareas!$N$6:$N$205,0),1)&amp;" · "&amp;INDEX(Tareas!$D$6:$D$205,MATCH(B$5&amp;"_"&amp;58,Tareas!$N$6:$N$205,0),1)&amp;CHAR(10)&amp;INDEX(Tareas!$C$6:$C$205,MATCH(B$5&amp;"_"&amp;58,Tareas!$N$6:$N$205,0),1)&amp;CHAR(10)&amp;INDEX(Tareas!$E$6:$E$205,MATCH(B$5&amp;"_"&amp;58,Tareas!$N$6:$N$205,0),1)&amp;CHAR(10)&amp;INDEX(Tareas!$O$6:$O$205,MATCH(B$5&amp;"_"&amp;58,Tareas!$N$6:$N$205,0),1))</x:f>
      </x:c>
      <x:c r="C63" s="21" t="str">
        <x:f>IF(58&gt;C$4,"",INDEX(Tareas!$A$6:$A$205,MATCH(C$5&amp;"_"&amp;58,Tareas!$N$6:$N$205,0),1)&amp;" · "&amp;INDEX(Tareas!$D$6:$D$205,MATCH(C$5&amp;"_"&amp;58,Tareas!$N$6:$N$205,0),1)&amp;CHAR(10)&amp;INDEX(Tareas!$C$6:$C$205,MATCH(C$5&amp;"_"&amp;58,Tareas!$N$6:$N$205,0),1)&amp;CHAR(10)&amp;INDEX(Tareas!$E$6:$E$205,MATCH(C$5&amp;"_"&amp;58,Tareas!$N$6:$N$205,0),1)&amp;CHAR(10)&amp;INDEX(Tareas!$O$6:$O$205,MATCH(C$5&amp;"_"&amp;58,Tareas!$N$6:$N$205,0),1))</x:f>
      </x:c>
      <x:c r="D63" s="21" t="str">
        <x:f>IF(58&gt;D$4,"",INDEX(Tareas!$A$6:$A$205,MATCH(D$5&amp;"_"&amp;58,Tareas!$N$6:$N$205,0),1)&amp;" · "&amp;INDEX(Tareas!$D$6:$D$205,MATCH(D$5&amp;"_"&amp;58,Tareas!$N$6:$N$205,0),1)&amp;CHAR(10)&amp;INDEX(Tareas!$C$6:$C$205,MATCH(D$5&amp;"_"&amp;58,Tareas!$N$6:$N$205,0),1)&amp;CHAR(10)&amp;INDEX(Tareas!$E$6:$E$205,MATCH(D$5&amp;"_"&amp;58,Tareas!$N$6:$N$205,0),1)&amp;CHAR(10)&amp;INDEX(Tareas!$O$6:$O$205,MATCH(D$5&amp;"_"&amp;58,Tareas!$N$6:$N$205,0),1))</x:f>
      </x:c>
      <x:c r="E63" s="21" t="str">
        <x:f>IF(58&gt;E$4,"",INDEX(Tareas!$A$6:$A$205,MATCH(E$5&amp;"_"&amp;58,Tareas!$N$6:$N$205,0),1)&amp;" · "&amp;INDEX(Tareas!$D$6:$D$205,MATCH(E$5&amp;"_"&amp;58,Tareas!$N$6:$N$205,0),1)&amp;CHAR(10)&amp;INDEX(Tareas!$C$6:$C$205,MATCH(E$5&amp;"_"&amp;58,Tareas!$N$6:$N$205,0),1)&amp;CHAR(10)&amp;INDEX(Tareas!$E$6:$E$205,MATCH(E$5&amp;"_"&amp;58,Tareas!$N$6:$N$205,0),1)&amp;CHAR(10)&amp;INDEX(Tareas!$O$6:$O$205,MATCH(E$5&amp;"_"&amp;58,Tareas!$N$6:$N$205,0),1))</x:f>
      </x:c>
      <x:c r="F63" s="21" t="str">
        <x:f>IF(58&gt;F$4,"",INDEX(Tareas!$A$6:$A$205,MATCH(F$5&amp;"_"&amp;58,Tareas!$N$6:$N$205,0),1)&amp;" · "&amp;INDEX(Tareas!$D$6:$D$205,MATCH(F$5&amp;"_"&amp;58,Tareas!$N$6:$N$205,0),1)&amp;CHAR(10)&amp;INDEX(Tareas!$C$6:$C$205,MATCH(F$5&amp;"_"&amp;58,Tareas!$N$6:$N$205,0),1)&amp;CHAR(10)&amp;INDEX(Tareas!$E$6:$E$205,MATCH(F$5&amp;"_"&amp;58,Tareas!$N$6:$N$205,0),1)&amp;CHAR(10)&amp;INDEX(Tareas!$O$6:$O$205,MATCH(F$5&amp;"_"&amp;58,Tareas!$N$6:$N$205,0),1))</x:f>
      </x:c>
    </x:row>
    <x:row r="64" ht="76" customHeight="1">
      <x:c r="A64" s="21" t="str">
        <x:f>IF(59&gt;A$4,"",INDEX(Tareas!$A$6:$A$205,MATCH(A$5&amp;"_"&amp;59,Tareas!$N$6:$N$205,0),1)&amp;" · "&amp;INDEX(Tareas!$D$6:$D$205,MATCH(A$5&amp;"_"&amp;59,Tareas!$N$6:$N$205,0),1)&amp;CHAR(10)&amp;INDEX(Tareas!$C$6:$C$205,MATCH(A$5&amp;"_"&amp;59,Tareas!$N$6:$N$205,0),1)&amp;CHAR(10)&amp;INDEX(Tareas!$E$6:$E$205,MATCH(A$5&amp;"_"&amp;59,Tareas!$N$6:$N$205,0),1)&amp;CHAR(10)&amp;INDEX(Tareas!$O$6:$O$205,MATCH(A$5&amp;"_"&amp;59,Tareas!$N$6:$N$205,0),1))</x:f>
      </x:c>
      <x:c r="B64" s="21" t="str">
        <x:f>IF(59&gt;B$4,"",INDEX(Tareas!$A$6:$A$205,MATCH(B$5&amp;"_"&amp;59,Tareas!$N$6:$N$205,0),1)&amp;" · "&amp;INDEX(Tareas!$D$6:$D$205,MATCH(B$5&amp;"_"&amp;59,Tareas!$N$6:$N$205,0),1)&amp;CHAR(10)&amp;INDEX(Tareas!$C$6:$C$205,MATCH(B$5&amp;"_"&amp;59,Tareas!$N$6:$N$205,0),1)&amp;CHAR(10)&amp;INDEX(Tareas!$E$6:$E$205,MATCH(B$5&amp;"_"&amp;59,Tareas!$N$6:$N$205,0),1)&amp;CHAR(10)&amp;INDEX(Tareas!$O$6:$O$205,MATCH(B$5&amp;"_"&amp;59,Tareas!$N$6:$N$205,0),1))</x:f>
      </x:c>
      <x:c r="C64" s="21" t="str">
        <x:f>IF(59&gt;C$4,"",INDEX(Tareas!$A$6:$A$205,MATCH(C$5&amp;"_"&amp;59,Tareas!$N$6:$N$205,0),1)&amp;" · "&amp;INDEX(Tareas!$D$6:$D$205,MATCH(C$5&amp;"_"&amp;59,Tareas!$N$6:$N$205,0),1)&amp;CHAR(10)&amp;INDEX(Tareas!$C$6:$C$205,MATCH(C$5&amp;"_"&amp;59,Tareas!$N$6:$N$205,0),1)&amp;CHAR(10)&amp;INDEX(Tareas!$E$6:$E$205,MATCH(C$5&amp;"_"&amp;59,Tareas!$N$6:$N$205,0),1)&amp;CHAR(10)&amp;INDEX(Tareas!$O$6:$O$205,MATCH(C$5&amp;"_"&amp;59,Tareas!$N$6:$N$205,0),1))</x:f>
      </x:c>
      <x:c r="D64" s="21" t="str">
        <x:f>IF(59&gt;D$4,"",INDEX(Tareas!$A$6:$A$205,MATCH(D$5&amp;"_"&amp;59,Tareas!$N$6:$N$205,0),1)&amp;" · "&amp;INDEX(Tareas!$D$6:$D$205,MATCH(D$5&amp;"_"&amp;59,Tareas!$N$6:$N$205,0),1)&amp;CHAR(10)&amp;INDEX(Tareas!$C$6:$C$205,MATCH(D$5&amp;"_"&amp;59,Tareas!$N$6:$N$205,0),1)&amp;CHAR(10)&amp;INDEX(Tareas!$E$6:$E$205,MATCH(D$5&amp;"_"&amp;59,Tareas!$N$6:$N$205,0),1)&amp;CHAR(10)&amp;INDEX(Tareas!$O$6:$O$205,MATCH(D$5&amp;"_"&amp;59,Tareas!$N$6:$N$205,0),1))</x:f>
      </x:c>
      <x:c r="E64" s="21" t="str">
        <x:f>IF(59&gt;E$4,"",INDEX(Tareas!$A$6:$A$205,MATCH(E$5&amp;"_"&amp;59,Tareas!$N$6:$N$205,0),1)&amp;" · "&amp;INDEX(Tareas!$D$6:$D$205,MATCH(E$5&amp;"_"&amp;59,Tareas!$N$6:$N$205,0),1)&amp;CHAR(10)&amp;INDEX(Tareas!$C$6:$C$205,MATCH(E$5&amp;"_"&amp;59,Tareas!$N$6:$N$205,0),1)&amp;CHAR(10)&amp;INDEX(Tareas!$E$6:$E$205,MATCH(E$5&amp;"_"&amp;59,Tareas!$N$6:$N$205,0),1)&amp;CHAR(10)&amp;INDEX(Tareas!$O$6:$O$205,MATCH(E$5&amp;"_"&amp;59,Tareas!$N$6:$N$205,0),1))</x:f>
      </x:c>
      <x:c r="F64" s="21" t="str">
        <x:f>IF(59&gt;F$4,"",INDEX(Tareas!$A$6:$A$205,MATCH(F$5&amp;"_"&amp;59,Tareas!$N$6:$N$205,0),1)&amp;" · "&amp;INDEX(Tareas!$D$6:$D$205,MATCH(F$5&amp;"_"&amp;59,Tareas!$N$6:$N$205,0),1)&amp;CHAR(10)&amp;INDEX(Tareas!$C$6:$C$205,MATCH(F$5&amp;"_"&amp;59,Tareas!$N$6:$N$205,0),1)&amp;CHAR(10)&amp;INDEX(Tareas!$E$6:$E$205,MATCH(F$5&amp;"_"&amp;59,Tareas!$N$6:$N$205,0),1)&amp;CHAR(10)&amp;INDEX(Tareas!$O$6:$O$205,MATCH(F$5&amp;"_"&amp;59,Tareas!$N$6:$N$205,0),1))</x:f>
      </x:c>
    </x:row>
    <x:row r="65" ht="76" customHeight="1">
      <x:c r="A65" s="21" t="str">
        <x:f>IF(60&gt;A$4,"",INDEX(Tareas!$A$6:$A$205,MATCH(A$5&amp;"_"&amp;60,Tareas!$N$6:$N$205,0),1)&amp;" · "&amp;INDEX(Tareas!$D$6:$D$205,MATCH(A$5&amp;"_"&amp;60,Tareas!$N$6:$N$205,0),1)&amp;CHAR(10)&amp;INDEX(Tareas!$C$6:$C$205,MATCH(A$5&amp;"_"&amp;60,Tareas!$N$6:$N$205,0),1)&amp;CHAR(10)&amp;INDEX(Tareas!$E$6:$E$205,MATCH(A$5&amp;"_"&amp;60,Tareas!$N$6:$N$205,0),1)&amp;CHAR(10)&amp;INDEX(Tareas!$O$6:$O$205,MATCH(A$5&amp;"_"&amp;60,Tareas!$N$6:$N$205,0),1))</x:f>
      </x:c>
      <x:c r="B65" s="21" t="str">
        <x:f>IF(60&gt;B$4,"",INDEX(Tareas!$A$6:$A$205,MATCH(B$5&amp;"_"&amp;60,Tareas!$N$6:$N$205,0),1)&amp;" · "&amp;INDEX(Tareas!$D$6:$D$205,MATCH(B$5&amp;"_"&amp;60,Tareas!$N$6:$N$205,0),1)&amp;CHAR(10)&amp;INDEX(Tareas!$C$6:$C$205,MATCH(B$5&amp;"_"&amp;60,Tareas!$N$6:$N$205,0),1)&amp;CHAR(10)&amp;INDEX(Tareas!$E$6:$E$205,MATCH(B$5&amp;"_"&amp;60,Tareas!$N$6:$N$205,0),1)&amp;CHAR(10)&amp;INDEX(Tareas!$O$6:$O$205,MATCH(B$5&amp;"_"&amp;60,Tareas!$N$6:$N$205,0),1))</x:f>
      </x:c>
      <x:c r="C65" s="21" t="str">
        <x:f>IF(60&gt;C$4,"",INDEX(Tareas!$A$6:$A$205,MATCH(C$5&amp;"_"&amp;60,Tareas!$N$6:$N$205,0),1)&amp;" · "&amp;INDEX(Tareas!$D$6:$D$205,MATCH(C$5&amp;"_"&amp;60,Tareas!$N$6:$N$205,0),1)&amp;CHAR(10)&amp;INDEX(Tareas!$C$6:$C$205,MATCH(C$5&amp;"_"&amp;60,Tareas!$N$6:$N$205,0),1)&amp;CHAR(10)&amp;INDEX(Tareas!$E$6:$E$205,MATCH(C$5&amp;"_"&amp;60,Tareas!$N$6:$N$205,0),1)&amp;CHAR(10)&amp;INDEX(Tareas!$O$6:$O$205,MATCH(C$5&amp;"_"&amp;60,Tareas!$N$6:$N$205,0),1))</x:f>
      </x:c>
      <x:c r="D65" s="21" t="str">
        <x:f>IF(60&gt;D$4,"",INDEX(Tareas!$A$6:$A$205,MATCH(D$5&amp;"_"&amp;60,Tareas!$N$6:$N$205,0),1)&amp;" · "&amp;INDEX(Tareas!$D$6:$D$205,MATCH(D$5&amp;"_"&amp;60,Tareas!$N$6:$N$205,0),1)&amp;CHAR(10)&amp;INDEX(Tareas!$C$6:$C$205,MATCH(D$5&amp;"_"&amp;60,Tareas!$N$6:$N$205,0),1)&amp;CHAR(10)&amp;INDEX(Tareas!$E$6:$E$205,MATCH(D$5&amp;"_"&amp;60,Tareas!$N$6:$N$205,0),1)&amp;CHAR(10)&amp;INDEX(Tareas!$O$6:$O$205,MATCH(D$5&amp;"_"&amp;60,Tareas!$N$6:$N$205,0),1))</x:f>
      </x:c>
      <x:c r="E65" s="21" t="str">
        <x:f>IF(60&gt;E$4,"",INDEX(Tareas!$A$6:$A$205,MATCH(E$5&amp;"_"&amp;60,Tareas!$N$6:$N$205,0),1)&amp;" · "&amp;INDEX(Tareas!$D$6:$D$205,MATCH(E$5&amp;"_"&amp;60,Tareas!$N$6:$N$205,0),1)&amp;CHAR(10)&amp;INDEX(Tareas!$C$6:$C$205,MATCH(E$5&amp;"_"&amp;60,Tareas!$N$6:$N$205,0),1)&amp;CHAR(10)&amp;INDEX(Tareas!$E$6:$E$205,MATCH(E$5&amp;"_"&amp;60,Tareas!$N$6:$N$205,0),1)&amp;CHAR(10)&amp;INDEX(Tareas!$O$6:$O$205,MATCH(E$5&amp;"_"&amp;60,Tareas!$N$6:$N$205,0),1))</x:f>
      </x:c>
      <x:c r="F65" s="21" t="str">
        <x:f>IF(60&gt;F$4,"",INDEX(Tareas!$A$6:$A$205,MATCH(F$5&amp;"_"&amp;60,Tareas!$N$6:$N$205,0),1)&amp;" · "&amp;INDEX(Tareas!$D$6:$D$205,MATCH(F$5&amp;"_"&amp;60,Tareas!$N$6:$N$205,0),1)&amp;CHAR(10)&amp;INDEX(Tareas!$C$6:$C$205,MATCH(F$5&amp;"_"&amp;60,Tareas!$N$6:$N$205,0),1)&amp;CHAR(10)&amp;INDEX(Tareas!$E$6:$E$205,MATCH(F$5&amp;"_"&amp;60,Tareas!$N$6:$N$205,0),1)&amp;CHAR(10)&amp;INDEX(Tareas!$O$6:$O$205,MATCH(F$5&amp;"_"&amp;60,Tareas!$N$6:$N$205,0),1))</x:f>
      </x:c>
    </x:row>
    <x:row r="66" ht="76" customHeight="1">
      <x:c r="A66" s="21" t="str">
        <x:f>IF(61&gt;A$4,"",INDEX(Tareas!$A$6:$A$205,MATCH(A$5&amp;"_"&amp;61,Tareas!$N$6:$N$205,0),1)&amp;" · "&amp;INDEX(Tareas!$D$6:$D$205,MATCH(A$5&amp;"_"&amp;61,Tareas!$N$6:$N$205,0),1)&amp;CHAR(10)&amp;INDEX(Tareas!$C$6:$C$205,MATCH(A$5&amp;"_"&amp;61,Tareas!$N$6:$N$205,0),1)&amp;CHAR(10)&amp;INDEX(Tareas!$E$6:$E$205,MATCH(A$5&amp;"_"&amp;61,Tareas!$N$6:$N$205,0),1)&amp;CHAR(10)&amp;INDEX(Tareas!$O$6:$O$205,MATCH(A$5&amp;"_"&amp;61,Tareas!$N$6:$N$205,0),1))</x:f>
      </x:c>
      <x:c r="B66" s="21" t="str">
        <x:f>IF(61&gt;B$4,"",INDEX(Tareas!$A$6:$A$205,MATCH(B$5&amp;"_"&amp;61,Tareas!$N$6:$N$205,0),1)&amp;" · "&amp;INDEX(Tareas!$D$6:$D$205,MATCH(B$5&amp;"_"&amp;61,Tareas!$N$6:$N$205,0),1)&amp;CHAR(10)&amp;INDEX(Tareas!$C$6:$C$205,MATCH(B$5&amp;"_"&amp;61,Tareas!$N$6:$N$205,0),1)&amp;CHAR(10)&amp;INDEX(Tareas!$E$6:$E$205,MATCH(B$5&amp;"_"&amp;61,Tareas!$N$6:$N$205,0),1)&amp;CHAR(10)&amp;INDEX(Tareas!$O$6:$O$205,MATCH(B$5&amp;"_"&amp;61,Tareas!$N$6:$N$205,0),1))</x:f>
      </x:c>
      <x:c r="C66" s="21" t="str">
        <x:f>IF(61&gt;C$4,"",INDEX(Tareas!$A$6:$A$205,MATCH(C$5&amp;"_"&amp;61,Tareas!$N$6:$N$205,0),1)&amp;" · "&amp;INDEX(Tareas!$D$6:$D$205,MATCH(C$5&amp;"_"&amp;61,Tareas!$N$6:$N$205,0),1)&amp;CHAR(10)&amp;INDEX(Tareas!$C$6:$C$205,MATCH(C$5&amp;"_"&amp;61,Tareas!$N$6:$N$205,0),1)&amp;CHAR(10)&amp;INDEX(Tareas!$E$6:$E$205,MATCH(C$5&amp;"_"&amp;61,Tareas!$N$6:$N$205,0),1)&amp;CHAR(10)&amp;INDEX(Tareas!$O$6:$O$205,MATCH(C$5&amp;"_"&amp;61,Tareas!$N$6:$N$205,0),1))</x:f>
      </x:c>
      <x:c r="D66" s="21" t="str">
        <x:f>IF(61&gt;D$4,"",INDEX(Tareas!$A$6:$A$205,MATCH(D$5&amp;"_"&amp;61,Tareas!$N$6:$N$205,0),1)&amp;" · "&amp;INDEX(Tareas!$D$6:$D$205,MATCH(D$5&amp;"_"&amp;61,Tareas!$N$6:$N$205,0),1)&amp;CHAR(10)&amp;INDEX(Tareas!$C$6:$C$205,MATCH(D$5&amp;"_"&amp;61,Tareas!$N$6:$N$205,0),1)&amp;CHAR(10)&amp;INDEX(Tareas!$E$6:$E$205,MATCH(D$5&amp;"_"&amp;61,Tareas!$N$6:$N$205,0),1)&amp;CHAR(10)&amp;INDEX(Tareas!$O$6:$O$205,MATCH(D$5&amp;"_"&amp;61,Tareas!$N$6:$N$205,0),1))</x:f>
      </x:c>
      <x:c r="E66" s="21" t="str">
        <x:f>IF(61&gt;E$4,"",INDEX(Tareas!$A$6:$A$205,MATCH(E$5&amp;"_"&amp;61,Tareas!$N$6:$N$205,0),1)&amp;" · "&amp;INDEX(Tareas!$D$6:$D$205,MATCH(E$5&amp;"_"&amp;61,Tareas!$N$6:$N$205,0),1)&amp;CHAR(10)&amp;INDEX(Tareas!$C$6:$C$205,MATCH(E$5&amp;"_"&amp;61,Tareas!$N$6:$N$205,0),1)&amp;CHAR(10)&amp;INDEX(Tareas!$E$6:$E$205,MATCH(E$5&amp;"_"&amp;61,Tareas!$N$6:$N$205,0),1)&amp;CHAR(10)&amp;INDEX(Tareas!$O$6:$O$205,MATCH(E$5&amp;"_"&amp;61,Tareas!$N$6:$N$205,0),1))</x:f>
      </x:c>
      <x:c r="F66" s="21" t="str">
        <x:f>IF(61&gt;F$4,"",INDEX(Tareas!$A$6:$A$205,MATCH(F$5&amp;"_"&amp;61,Tareas!$N$6:$N$205,0),1)&amp;" · "&amp;INDEX(Tareas!$D$6:$D$205,MATCH(F$5&amp;"_"&amp;61,Tareas!$N$6:$N$205,0),1)&amp;CHAR(10)&amp;INDEX(Tareas!$C$6:$C$205,MATCH(F$5&amp;"_"&amp;61,Tareas!$N$6:$N$205,0),1)&amp;CHAR(10)&amp;INDEX(Tareas!$E$6:$E$205,MATCH(F$5&amp;"_"&amp;61,Tareas!$N$6:$N$205,0),1)&amp;CHAR(10)&amp;INDEX(Tareas!$O$6:$O$205,MATCH(F$5&amp;"_"&amp;61,Tareas!$N$6:$N$205,0),1))</x:f>
      </x:c>
    </x:row>
    <x:row r="67" ht="76" customHeight="1">
      <x:c r="A67" s="21" t="str">
        <x:f>IF(62&gt;A$4,"",INDEX(Tareas!$A$6:$A$205,MATCH(A$5&amp;"_"&amp;62,Tareas!$N$6:$N$205,0),1)&amp;" · "&amp;INDEX(Tareas!$D$6:$D$205,MATCH(A$5&amp;"_"&amp;62,Tareas!$N$6:$N$205,0),1)&amp;CHAR(10)&amp;INDEX(Tareas!$C$6:$C$205,MATCH(A$5&amp;"_"&amp;62,Tareas!$N$6:$N$205,0),1)&amp;CHAR(10)&amp;INDEX(Tareas!$E$6:$E$205,MATCH(A$5&amp;"_"&amp;62,Tareas!$N$6:$N$205,0),1)&amp;CHAR(10)&amp;INDEX(Tareas!$O$6:$O$205,MATCH(A$5&amp;"_"&amp;62,Tareas!$N$6:$N$205,0),1))</x:f>
      </x:c>
      <x:c r="B67" s="21" t="str">
        <x:f>IF(62&gt;B$4,"",INDEX(Tareas!$A$6:$A$205,MATCH(B$5&amp;"_"&amp;62,Tareas!$N$6:$N$205,0),1)&amp;" · "&amp;INDEX(Tareas!$D$6:$D$205,MATCH(B$5&amp;"_"&amp;62,Tareas!$N$6:$N$205,0),1)&amp;CHAR(10)&amp;INDEX(Tareas!$C$6:$C$205,MATCH(B$5&amp;"_"&amp;62,Tareas!$N$6:$N$205,0),1)&amp;CHAR(10)&amp;INDEX(Tareas!$E$6:$E$205,MATCH(B$5&amp;"_"&amp;62,Tareas!$N$6:$N$205,0),1)&amp;CHAR(10)&amp;INDEX(Tareas!$O$6:$O$205,MATCH(B$5&amp;"_"&amp;62,Tareas!$N$6:$N$205,0),1))</x:f>
      </x:c>
      <x:c r="C67" s="21" t="str">
        <x:f>IF(62&gt;C$4,"",INDEX(Tareas!$A$6:$A$205,MATCH(C$5&amp;"_"&amp;62,Tareas!$N$6:$N$205,0),1)&amp;" · "&amp;INDEX(Tareas!$D$6:$D$205,MATCH(C$5&amp;"_"&amp;62,Tareas!$N$6:$N$205,0),1)&amp;CHAR(10)&amp;INDEX(Tareas!$C$6:$C$205,MATCH(C$5&amp;"_"&amp;62,Tareas!$N$6:$N$205,0),1)&amp;CHAR(10)&amp;INDEX(Tareas!$E$6:$E$205,MATCH(C$5&amp;"_"&amp;62,Tareas!$N$6:$N$205,0),1)&amp;CHAR(10)&amp;INDEX(Tareas!$O$6:$O$205,MATCH(C$5&amp;"_"&amp;62,Tareas!$N$6:$N$205,0),1))</x:f>
      </x:c>
      <x:c r="D67" s="21" t="str">
        <x:f>IF(62&gt;D$4,"",INDEX(Tareas!$A$6:$A$205,MATCH(D$5&amp;"_"&amp;62,Tareas!$N$6:$N$205,0),1)&amp;" · "&amp;INDEX(Tareas!$D$6:$D$205,MATCH(D$5&amp;"_"&amp;62,Tareas!$N$6:$N$205,0),1)&amp;CHAR(10)&amp;INDEX(Tareas!$C$6:$C$205,MATCH(D$5&amp;"_"&amp;62,Tareas!$N$6:$N$205,0),1)&amp;CHAR(10)&amp;INDEX(Tareas!$E$6:$E$205,MATCH(D$5&amp;"_"&amp;62,Tareas!$N$6:$N$205,0),1)&amp;CHAR(10)&amp;INDEX(Tareas!$O$6:$O$205,MATCH(D$5&amp;"_"&amp;62,Tareas!$N$6:$N$205,0),1))</x:f>
      </x:c>
      <x:c r="E67" s="21" t="str">
        <x:f>IF(62&gt;E$4,"",INDEX(Tareas!$A$6:$A$205,MATCH(E$5&amp;"_"&amp;62,Tareas!$N$6:$N$205,0),1)&amp;" · "&amp;INDEX(Tareas!$D$6:$D$205,MATCH(E$5&amp;"_"&amp;62,Tareas!$N$6:$N$205,0),1)&amp;CHAR(10)&amp;INDEX(Tareas!$C$6:$C$205,MATCH(E$5&amp;"_"&amp;62,Tareas!$N$6:$N$205,0),1)&amp;CHAR(10)&amp;INDEX(Tareas!$E$6:$E$205,MATCH(E$5&amp;"_"&amp;62,Tareas!$N$6:$N$205,0),1)&amp;CHAR(10)&amp;INDEX(Tareas!$O$6:$O$205,MATCH(E$5&amp;"_"&amp;62,Tareas!$N$6:$N$205,0),1))</x:f>
      </x:c>
      <x:c r="F67" s="21" t="str">
        <x:f>IF(62&gt;F$4,"",INDEX(Tareas!$A$6:$A$205,MATCH(F$5&amp;"_"&amp;62,Tareas!$N$6:$N$205,0),1)&amp;" · "&amp;INDEX(Tareas!$D$6:$D$205,MATCH(F$5&amp;"_"&amp;62,Tareas!$N$6:$N$205,0),1)&amp;CHAR(10)&amp;INDEX(Tareas!$C$6:$C$205,MATCH(F$5&amp;"_"&amp;62,Tareas!$N$6:$N$205,0),1)&amp;CHAR(10)&amp;INDEX(Tareas!$E$6:$E$205,MATCH(F$5&amp;"_"&amp;62,Tareas!$N$6:$N$205,0),1)&amp;CHAR(10)&amp;INDEX(Tareas!$O$6:$O$205,MATCH(F$5&amp;"_"&amp;62,Tareas!$N$6:$N$205,0),1))</x:f>
      </x:c>
    </x:row>
    <x:row r="68" ht="76" customHeight="1">
      <x:c r="A68" s="21" t="str">
        <x:f>IF(63&gt;A$4,"",INDEX(Tareas!$A$6:$A$205,MATCH(A$5&amp;"_"&amp;63,Tareas!$N$6:$N$205,0),1)&amp;" · "&amp;INDEX(Tareas!$D$6:$D$205,MATCH(A$5&amp;"_"&amp;63,Tareas!$N$6:$N$205,0),1)&amp;CHAR(10)&amp;INDEX(Tareas!$C$6:$C$205,MATCH(A$5&amp;"_"&amp;63,Tareas!$N$6:$N$205,0),1)&amp;CHAR(10)&amp;INDEX(Tareas!$E$6:$E$205,MATCH(A$5&amp;"_"&amp;63,Tareas!$N$6:$N$205,0),1)&amp;CHAR(10)&amp;INDEX(Tareas!$O$6:$O$205,MATCH(A$5&amp;"_"&amp;63,Tareas!$N$6:$N$205,0),1))</x:f>
      </x:c>
      <x:c r="B68" s="21" t="str">
        <x:f>IF(63&gt;B$4,"",INDEX(Tareas!$A$6:$A$205,MATCH(B$5&amp;"_"&amp;63,Tareas!$N$6:$N$205,0),1)&amp;" · "&amp;INDEX(Tareas!$D$6:$D$205,MATCH(B$5&amp;"_"&amp;63,Tareas!$N$6:$N$205,0),1)&amp;CHAR(10)&amp;INDEX(Tareas!$C$6:$C$205,MATCH(B$5&amp;"_"&amp;63,Tareas!$N$6:$N$205,0),1)&amp;CHAR(10)&amp;INDEX(Tareas!$E$6:$E$205,MATCH(B$5&amp;"_"&amp;63,Tareas!$N$6:$N$205,0),1)&amp;CHAR(10)&amp;INDEX(Tareas!$O$6:$O$205,MATCH(B$5&amp;"_"&amp;63,Tareas!$N$6:$N$205,0),1))</x:f>
      </x:c>
      <x:c r="C68" s="21" t="str">
        <x:f>IF(63&gt;C$4,"",INDEX(Tareas!$A$6:$A$205,MATCH(C$5&amp;"_"&amp;63,Tareas!$N$6:$N$205,0),1)&amp;" · "&amp;INDEX(Tareas!$D$6:$D$205,MATCH(C$5&amp;"_"&amp;63,Tareas!$N$6:$N$205,0),1)&amp;CHAR(10)&amp;INDEX(Tareas!$C$6:$C$205,MATCH(C$5&amp;"_"&amp;63,Tareas!$N$6:$N$205,0),1)&amp;CHAR(10)&amp;INDEX(Tareas!$E$6:$E$205,MATCH(C$5&amp;"_"&amp;63,Tareas!$N$6:$N$205,0),1)&amp;CHAR(10)&amp;INDEX(Tareas!$O$6:$O$205,MATCH(C$5&amp;"_"&amp;63,Tareas!$N$6:$N$205,0),1))</x:f>
      </x:c>
      <x:c r="D68" s="21" t="str">
        <x:f>IF(63&gt;D$4,"",INDEX(Tareas!$A$6:$A$205,MATCH(D$5&amp;"_"&amp;63,Tareas!$N$6:$N$205,0),1)&amp;" · "&amp;INDEX(Tareas!$D$6:$D$205,MATCH(D$5&amp;"_"&amp;63,Tareas!$N$6:$N$205,0),1)&amp;CHAR(10)&amp;INDEX(Tareas!$C$6:$C$205,MATCH(D$5&amp;"_"&amp;63,Tareas!$N$6:$N$205,0),1)&amp;CHAR(10)&amp;INDEX(Tareas!$E$6:$E$205,MATCH(D$5&amp;"_"&amp;63,Tareas!$N$6:$N$205,0),1)&amp;CHAR(10)&amp;INDEX(Tareas!$O$6:$O$205,MATCH(D$5&amp;"_"&amp;63,Tareas!$N$6:$N$205,0),1))</x:f>
      </x:c>
      <x:c r="E68" s="21" t="str">
        <x:f>IF(63&gt;E$4,"",INDEX(Tareas!$A$6:$A$205,MATCH(E$5&amp;"_"&amp;63,Tareas!$N$6:$N$205,0),1)&amp;" · "&amp;INDEX(Tareas!$D$6:$D$205,MATCH(E$5&amp;"_"&amp;63,Tareas!$N$6:$N$205,0),1)&amp;CHAR(10)&amp;INDEX(Tareas!$C$6:$C$205,MATCH(E$5&amp;"_"&amp;63,Tareas!$N$6:$N$205,0),1)&amp;CHAR(10)&amp;INDEX(Tareas!$E$6:$E$205,MATCH(E$5&amp;"_"&amp;63,Tareas!$N$6:$N$205,0),1)&amp;CHAR(10)&amp;INDEX(Tareas!$O$6:$O$205,MATCH(E$5&amp;"_"&amp;63,Tareas!$N$6:$N$205,0),1))</x:f>
      </x:c>
      <x:c r="F68" s="21" t="str">
        <x:f>IF(63&gt;F$4,"",INDEX(Tareas!$A$6:$A$205,MATCH(F$5&amp;"_"&amp;63,Tareas!$N$6:$N$205,0),1)&amp;" · "&amp;INDEX(Tareas!$D$6:$D$205,MATCH(F$5&amp;"_"&amp;63,Tareas!$N$6:$N$205,0),1)&amp;CHAR(10)&amp;INDEX(Tareas!$C$6:$C$205,MATCH(F$5&amp;"_"&amp;63,Tareas!$N$6:$N$205,0),1)&amp;CHAR(10)&amp;INDEX(Tareas!$E$6:$E$205,MATCH(F$5&amp;"_"&amp;63,Tareas!$N$6:$N$205,0),1)&amp;CHAR(10)&amp;INDEX(Tareas!$O$6:$O$205,MATCH(F$5&amp;"_"&amp;63,Tareas!$N$6:$N$205,0),1))</x:f>
      </x:c>
    </x:row>
    <x:row r="69" ht="76" customHeight="1">
      <x:c r="A69" s="21" t="str">
        <x:f>IF(64&gt;A$4,"",INDEX(Tareas!$A$6:$A$205,MATCH(A$5&amp;"_"&amp;64,Tareas!$N$6:$N$205,0),1)&amp;" · "&amp;INDEX(Tareas!$D$6:$D$205,MATCH(A$5&amp;"_"&amp;64,Tareas!$N$6:$N$205,0),1)&amp;CHAR(10)&amp;INDEX(Tareas!$C$6:$C$205,MATCH(A$5&amp;"_"&amp;64,Tareas!$N$6:$N$205,0),1)&amp;CHAR(10)&amp;INDEX(Tareas!$E$6:$E$205,MATCH(A$5&amp;"_"&amp;64,Tareas!$N$6:$N$205,0),1)&amp;CHAR(10)&amp;INDEX(Tareas!$O$6:$O$205,MATCH(A$5&amp;"_"&amp;64,Tareas!$N$6:$N$205,0),1))</x:f>
      </x:c>
      <x:c r="B69" s="21" t="str">
        <x:f>IF(64&gt;B$4,"",INDEX(Tareas!$A$6:$A$205,MATCH(B$5&amp;"_"&amp;64,Tareas!$N$6:$N$205,0),1)&amp;" · "&amp;INDEX(Tareas!$D$6:$D$205,MATCH(B$5&amp;"_"&amp;64,Tareas!$N$6:$N$205,0),1)&amp;CHAR(10)&amp;INDEX(Tareas!$C$6:$C$205,MATCH(B$5&amp;"_"&amp;64,Tareas!$N$6:$N$205,0),1)&amp;CHAR(10)&amp;INDEX(Tareas!$E$6:$E$205,MATCH(B$5&amp;"_"&amp;64,Tareas!$N$6:$N$205,0),1)&amp;CHAR(10)&amp;INDEX(Tareas!$O$6:$O$205,MATCH(B$5&amp;"_"&amp;64,Tareas!$N$6:$N$205,0),1))</x:f>
      </x:c>
      <x:c r="C69" s="21" t="str">
        <x:f>IF(64&gt;C$4,"",INDEX(Tareas!$A$6:$A$205,MATCH(C$5&amp;"_"&amp;64,Tareas!$N$6:$N$205,0),1)&amp;" · "&amp;INDEX(Tareas!$D$6:$D$205,MATCH(C$5&amp;"_"&amp;64,Tareas!$N$6:$N$205,0),1)&amp;CHAR(10)&amp;INDEX(Tareas!$C$6:$C$205,MATCH(C$5&amp;"_"&amp;64,Tareas!$N$6:$N$205,0),1)&amp;CHAR(10)&amp;INDEX(Tareas!$E$6:$E$205,MATCH(C$5&amp;"_"&amp;64,Tareas!$N$6:$N$205,0),1)&amp;CHAR(10)&amp;INDEX(Tareas!$O$6:$O$205,MATCH(C$5&amp;"_"&amp;64,Tareas!$N$6:$N$205,0),1))</x:f>
      </x:c>
      <x:c r="D69" s="21" t="str">
        <x:f>IF(64&gt;D$4,"",INDEX(Tareas!$A$6:$A$205,MATCH(D$5&amp;"_"&amp;64,Tareas!$N$6:$N$205,0),1)&amp;" · "&amp;INDEX(Tareas!$D$6:$D$205,MATCH(D$5&amp;"_"&amp;64,Tareas!$N$6:$N$205,0),1)&amp;CHAR(10)&amp;INDEX(Tareas!$C$6:$C$205,MATCH(D$5&amp;"_"&amp;64,Tareas!$N$6:$N$205,0),1)&amp;CHAR(10)&amp;INDEX(Tareas!$E$6:$E$205,MATCH(D$5&amp;"_"&amp;64,Tareas!$N$6:$N$205,0),1)&amp;CHAR(10)&amp;INDEX(Tareas!$O$6:$O$205,MATCH(D$5&amp;"_"&amp;64,Tareas!$N$6:$N$205,0),1))</x:f>
      </x:c>
      <x:c r="E69" s="21" t="str">
        <x:f>IF(64&gt;E$4,"",INDEX(Tareas!$A$6:$A$205,MATCH(E$5&amp;"_"&amp;64,Tareas!$N$6:$N$205,0),1)&amp;" · "&amp;INDEX(Tareas!$D$6:$D$205,MATCH(E$5&amp;"_"&amp;64,Tareas!$N$6:$N$205,0),1)&amp;CHAR(10)&amp;INDEX(Tareas!$C$6:$C$205,MATCH(E$5&amp;"_"&amp;64,Tareas!$N$6:$N$205,0),1)&amp;CHAR(10)&amp;INDEX(Tareas!$E$6:$E$205,MATCH(E$5&amp;"_"&amp;64,Tareas!$N$6:$N$205,0),1)&amp;CHAR(10)&amp;INDEX(Tareas!$O$6:$O$205,MATCH(E$5&amp;"_"&amp;64,Tareas!$N$6:$N$205,0),1))</x:f>
      </x:c>
      <x:c r="F69" s="21" t="str">
        <x:f>IF(64&gt;F$4,"",INDEX(Tareas!$A$6:$A$205,MATCH(F$5&amp;"_"&amp;64,Tareas!$N$6:$N$205,0),1)&amp;" · "&amp;INDEX(Tareas!$D$6:$D$205,MATCH(F$5&amp;"_"&amp;64,Tareas!$N$6:$N$205,0),1)&amp;CHAR(10)&amp;INDEX(Tareas!$C$6:$C$205,MATCH(F$5&amp;"_"&amp;64,Tareas!$N$6:$N$205,0),1)&amp;CHAR(10)&amp;INDEX(Tareas!$E$6:$E$205,MATCH(F$5&amp;"_"&amp;64,Tareas!$N$6:$N$205,0),1)&amp;CHAR(10)&amp;INDEX(Tareas!$O$6:$O$205,MATCH(F$5&amp;"_"&amp;64,Tareas!$N$6:$N$205,0),1))</x:f>
      </x:c>
    </x:row>
    <x:row r="70" ht="76" customHeight="1">
      <x:c r="A70" s="21" t="str">
        <x:f>IF(65&gt;A$4,"",INDEX(Tareas!$A$6:$A$205,MATCH(A$5&amp;"_"&amp;65,Tareas!$N$6:$N$205,0),1)&amp;" · "&amp;INDEX(Tareas!$D$6:$D$205,MATCH(A$5&amp;"_"&amp;65,Tareas!$N$6:$N$205,0),1)&amp;CHAR(10)&amp;INDEX(Tareas!$C$6:$C$205,MATCH(A$5&amp;"_"&amp;65,Tareas!$N$6:$N$205,0),1)&amp;CHAR(10)&amp;INDEX(Tareas!$E$6:$E$205,MATCH(A$5&amp;"_"&amp;65,Tareas!$N$6:$N$205,0),1)&amp;CHAR(10)&amp;INDEX(Tareas!$O$6:$O$205,MATCH(A$5&amp;"_"&amp;65,Tareas!$N$6:$N$205,0),1))</x:f>
      </x:c>
      <x:c r="B70" s="21" t="str">
        <x:f>IF(65&gt;B$4,"",INDEX(Tareas!$A$6:$A$205,MATCH(B$5&amp;"_"&amp;65,Tareas!$N$6:$N$205,0),1)&amp;" · "&amp;INDEX(Tareas!$D$6:$D$205,MATCH(B$5&amp;"_"&amp;65,Tareas!$N$6:$N$205,0),1)&amp;CHAR(10)&amp;INDEX(Tareas!$C$6:$C$205,MATCH(B$5&amp;"_"&amp;65,Tareas!$N$6:$N$205,0),1)&amp;CHAR(10)&amp;INDEX(Tareas!$E$6:$E$205,MATCH(B$5&amp;"_"&amp;65,Tareas!$N$6:$N$205,0),1)&amp;CHAR(10)&amp;INDEX(Tareas!$O$6:$O$205,MATCH(B$5&amp;"_"&amp;65,Tareas!$N$6:$N$205,0),1))</x:f>
      </x:c>
      <x:c r="C70" s="21" t="str">
        <x:f>IF(65&gt;C$4,"",INDEX(Tareas!$A$6:$A$205,MATCH(C$5&amp;"_"&amp;65,Tareas!$N$6:$N$205,0),1)&amp;" · "&amp;INDEX(Tareas!$D$6:$D$205,MATCH(C$5&amp;"_"&amp;65,Tareas!$N$6:$N$205,0),1)&amp;CHAR(10)&amp;INDEX(Tareas!$C$6:$C$205,MATCH(C$5&amp;"_"&amp;65,Tareas!$N$6:$N$205,0),1)&amp;CHAR(10)&amp;INDEX(Tareas!$E$6:$E$205,MATCH(C$5&amp;"_"&amp;65,Tareas!$N$6:$N$205,0),1)&amp;CHAR(10)&amp;INDEX(Tareas!$O$6:$O$205,MATCH(C$5&amp;"_"&amp;65,Tareas!$N$6:$N$205,0),1))</x:f>
      </x:c>
      <x:c r="D70" s="21" t="str">
        <x:f>IF(65&gt;D$4,"",INDEX(Tareas!$A$6:$A$205,MATCH(D$5&amp;"_"&amp;65,Tareas!$N$6:$N$205,0),1)&amp;" · "&amp;INDEX(Tareas!$D$6:$D$205,MATCH(D$5&amp;"_"&amp;65,Tareas!$N$6:$N$205,0),1)&amp;CHAR(10)&amp;INDEX(Tareas!$C$6:$C$205,MATCH(D$5&amp;"_"&amp;65,Tareas!$N$6:$N$205,0),1)&amp;CHAR(10)&amp;INDEX(Tareas!$E$6:$E$205,MATCH(D$5&amp;"_"&amp;65,Tareas!$N$6:$N$205,0),1)&amp;CHAR(10)&amp;INDEX(Tareas!$O$6:$O$205,MATCH(D$5&amp;"_"&amp;65,Tareas!$N$6:$N$205,0),1))</x:f>
      </x:c>
      <x:c r="E70" s="21" t="str">
        <x:f>IF(65&gt;E$4,"",INDEX(Tareas!$A$6:$A$205,MATCH(E$5&amp;"_"&amp;65,Tareas!$N$6:$N$205,0),1)&amp;" · "&amp;INDEX(Tareas!$D$6:$D$205,MATCH(E$5&amp;"_"&amp;65,Tareas!$N$6:$N$205,0),1)&amp;CHAR(10)&amp;INDEX(Tareas!$C$6:$C$205,MATCH(E$5&amp;"_"&amp;65,Tareas!$N$6:$N$205,0),1)&amp;CHAR(10)&amp;INDEX(Tareas!$E$6:$E$205,MATCH(E$5&amp;"_"&amp;65,Tareas!$N$6:$N$205,0),1)&amp;CHAR(10)&amp;INDEX(Tareas!$O$6:$O$205,MATCH(E$5&amp;"_"&amp;65,Tareas!$N$6:$N$205,0),1))</x:f>
      </x:c>
      <x:c r="F70" s="21" t="str">
        <x:f>IF(65&gt;F$4,"",INDEX(Tareas!$A$6:$A$205,MATCH(F$5&amp;"_"&amp;65,Tareas!$N$6:$N$205,0),1)&amp;" · "&amp;INDEX(Tareas!$D$6:$D$205,MATCH(F$5&amp;"_"&amp;65,Tareas!$N$6:$N$205,0),1)&amp;CHAR(10)&amp;INDEX(Tareas!$C$6:$C$205,MATCH(F$5&amp;"_"&amp;65,Tareas!$N$6:$N$205,0),1)&amp;CHAR(10)&amp;INDEX(Tareas!$E$6:$E$205,MATCH(F$5&amp;"_"&amp;65,Tareas!$N$6:$N$205,0),1)&amp;CHAR(10)&amp;INDEX(Tareas!$O$6:$O$205,MATCH(F$5&amp;"_"&amp;65,Tareas!$N$6:$N$205,0),1))</x:f>
      </x:c>
    </x:row>
    <x:row r="71" ht="76" customHeight="1">
      <x:c r="A71" s="21" t="str">
        <x:f>IF(66&gt;A$4,"",INDEX(Tareas!$A$6:$A$205,MATCH(A$5&amp;"_"&amp;66,Tareas!$N$6:$N$205,0),1)&amp;" · "&amp;INDEX(Tareas!$D$6:$D$205,MATCH(A$5&amp;"_"&amp;66,Tareas!$N$6:$N$205,0),1)&amp;CHAR(10)&amp;INDEX(Tareas!$C$6:$C$205,MATCH(A$5&amp;"_"&amp;66,Tareas!$N$6:$N$205,0),1)&amp;CHAR(10)&amp;INDEX(Tareas!$E$6:$E$205,MATCH(A$5&amp;"_"&amp;66,Tareas!$N$6:$N$205,0),1)&amp;CHAR(10)&amp;INDEX(Tareas!$O$6:$O$205,MATCH(A$5&amp;"_"&amp;66,Tareas!$N$6:$N$205,0),1))</x:f>
      </x:c>
      <x:c r="B71" s="21" t="str">
        <x:f>IF(66&gt;B$4,"",INDEX(Tareas!$A$6:$A$205,MATCH(B$5&amp;"_"&amp;66,Tareas!$N$6:$N$205,0),1)&amp;" · "&amp;INDEX(Tareas!$D$6:$D$205,MATCH(B$5&amp;"_"&amp;66,Tareas!$N$6:$N$205,0),1)&amp;CHAR(10)&amp;INDEX(Tareas!$C$6:$C$205,MATCH(B$5&amp;"_"&amp;66,Tareas!$N$6:$N$205,0),1)&amp;CHAR(10)&amp;INDEX(Tareas!$E$6:$E$205,MATCH(B$5&amp;"_"&amp;66,Tareas!$N$6:$N$205,0),1)&amp;CHAR(10)&amp;INDEX(Tareas!$O$6:$O$205,MATCH(B$5&amp;"_"&amp;66,Tareas!$N$6:$N$205,0),1))</x:f>
      </x:c>
      <x:c r="C71" s="21" t="str">
        <x:f>IF(66&gt;C$4,"",INDEX(Tareas!$A$6:$A$205,MATCH(C$5&amp;"_"&amp;66,Tareas!$N$6:$N$205,0),1)&amp;" · "&amp;INDEX(Tareas!$D$6:$D$205,MATCH(C$5&amp;"_"&amp;66,Tareas!$N$6:$N$205,0),1)&amp;CHAR(10)&amp;INDEX(Tareas!$C$6:$C$205,MATCH(C$5&amp;"_"&amp;66,Tareas!$N$6:$N$205,0),1)&amp;CHAR(10)&amp;INDEX(Tareas!$E$6:$E$205,MATCH(C$5&amp;"_"&amp;66,Tareas!$N$6:$N$205,0),1)&amp;CHAR(10)&amp;INDEX(Tareas!$O$6:$O$205,MATCH(C$5&amp;"_"&amp;66,Tareas!$N$6:$N$205,0),1))</x:f>
      </x:c>
      <x:c r="D71" s="21" t="str">
        <x:f>IF(66&gt;D$4,"",INDEX(Tareas!$A$6:$A$205,MATCH(D$5&amp;"_"&amp;66,Tareas!$N$6:$N$205,0),1)&amp;" · "&amp;INDEX(Tareas!$D$6:$D$205,MATCH(D$5&amp;"_"&amp;66,Tareas!$N$6:$N$205,0),1)&amp;CHAR(10)&amp;INDEX(Tareas!$C$6:$C$205,MATCH(D$5&amp;"_"&amp;66,Tareas!$N$6:$N$205,0),1)&amp;CHAR(10)&amp;INDEX(Tareas!$E$6:$E$205,MATCH(D$5&amp;"_"&amp;66,Tareas!$N$6:$N$205,0),1)&amp;CHAR(10)&amp;INDEX(Tareas!$O$6:$O$205,MATCH(D$5&amp;"_"&amp;66,Tareas!$N$6:$N$205,0),1))</x:f>
      </x:c>
      <x:c r="E71" s="21" t="str">
        <x:f>IF(66&gt;E$4,"",INDEX(Tareas!$A$6:$A$205,MATCH(E$5&amp;"_"&amp;66,Tareas!$N$6:$N$205,0),1)&amp;" · "&amp;INDEX(Tareas!$D$6:$D$205,MATCH(E$5&amp;"_"&amp;66,Tareas!$N$6:$N$205,0),1)&amp;CHAR(10)&amp;INDEX(Tareas!$C$6:$C$205,MATCH(E$5&amp;"_"&amp;66,Tareas!$N$6:$N$205,0),1)&amp;CHAR(10)&amp;INDEX(Tareas!$E$6:$E$205,MATCH(E$5&amp;"_"&amp;66,Tareas!$N$6:$N$205,0),1)&amp;CHAR(10)&amp;INDEX(Tareas!$O$6:$O$205,MATCH(E$5&amp;"_"&amp;66,Tareas!$N$6:$N$205,0),1))</x:f>
      </x:c>
      <x:c r="F71" s="21" t="str">
        <x:f>IF(66&gt;F$4,"",INDEX(Tareas!$A$6:$A$205,MATCH(F$5&amp;"_"&amp;66,Tareas!$N$6:$N$205,0),1)&amp;" · "&amp;INDEX(Tareas!$D$6:$D$205,MATCH(F$5&amp;"_"&amp;66,Tareas!$N$6:$N$205,0),1)&amp;CHAR(10)&amp;INDEX(Tareas!$C$6:$C$205,MATCH(F$5&amp;"_"&amp;66,Tareas!$N$6:$N$205,0),1)&amp;CHAR(10)&amp;INDEX(Tareas!$E$6:$E$205,MATCH(F$5&amp;"_"&amp;66,Tareas!$N$6:$N$205,0),1)&amp;CHAR(10)&amp;INDEX(Tareas!$O$6:$O$205,MATCH(F$5&amp;"_"&amp;66,Tareas!$N$6:$N$205,0),1))</x:f>
      </x:c>
    </x:row>
    <x:row r="72" ht="76" customHeight="1">
      <x:c r="A72" s="21" t="str">
        <x:f>IF(67&gt;A$4,"",INDEX(Tareas!$A$6:$A$205,MATCH(A$5&amp;"_"&amp;67,Tareas!$N$6:$N$205,0),1)&amp;" · "&amp;INDEX(Tareas!$D$6:$D$205,MATCH(A$5&amp;"_"&amp;67,Tareas!$N$6:$N$205,0),1)&amp;CHAR(10)&amp;INDEX(Tareas!$C$6:$C$205,MATCH(A$5&amp;"_"&amp;67,Tareas!$N$6:$N$205,0),1)&amp;CHAR(10)&amp;INDEX(Tareas!$E$6:$E$205,MATCH(A$5&amp;"_"&amp;67,Tareas!$N$6:$N$205,0),1)&amp;CHAR(10)&amp;INDEX(Tareas!$O$6:$O$205,MATCH(A$5&amp;"_"&amp;67,Tareas!$N$6:$N$205,0),1))</x:f>
      </x:c>
      <x:c r="B72" s="21" t="str">
        <x:f>IF(67&gt;B$4,"",INDEX(Tareas!$A$6:$A$205,MATCH(B$5&amp;"_"&amp;67,Tareas!$N$6:$N$205,0),1)&amp;" · "&amp;INDEX(Tareas!$D$6:$D$205,MATCH(B$5&amp;"_"&amp;67,Tareas!$N$6:$N$205,0),1)&amp;CHAR(10)&amp;INDEX(Tareas!$C$6:$C$205,MATCH(B$5&amp;"_"&amp;67,Tareas!$N$6:$N$205,0),1)&amp;CHAR(10)&amp;INDEX(Tareas!$E$6:$E$205,MATCH(B$5&amp;"_"&amp;67,Tareas!$N$6:$N$205,0),1)&amp;CHAR(10)&amp;INDEX(Tareas!$O$6:$O$205,MATCH(B$5&amp;"_"&amp;67,Tareas!$N$6:$N$205,0),1))</x:f>
      </x:c>
      <x:c r="C72" s="21" t="str">
        <x:f>IF(67&gt;C$4,"",INDEX(Tareas!$A$6:$A$205,MATCH(C$5&amp;"_"&amp;67,Tareas!$N$6:$N$205,0),1)&amp;" · "&amp;INDEX(Tareas!$D$6:$D$205,MATCH(C$5&amp;"_"&amp;67,Tareas!$N$6:$N$205,0),1)&amp;CHAR(10)&amp;INDEX(Tareas!$C$6:$C$205,MATCH(C$5&amp;"_"&amp;67,Tareas!$N$6:$N$205,0),1)&amp;CHAR(10)&amp;INDEX(Tareas!$E$6:$E$205,MATCH(C$5&amp;"_"&amp;67,Tareas!$N$6:$N$205,0),1)&amp;CHAR(10)&amp;INDEX(Tareas!$O$6:$O$205,MATCH(C$5&amp;"_"&amp;67,Tareas!$N$6:$N$205,0),1))</x:f>
      </x:c>
      <x:c r="D72" s="21" t="str">
        <x:f>IF(67&gt;D$4,"",INDEX(Tareas!$A$6:$A$205,MATCH(D$5&amp;"_"&amp;67,Tareas!$N$6:$N$205,0),1)&amp;" · "&amp;INDEX(Tareas!$D$6:$D$205,MATCH(D$5&amp;"_"&amp;67,Tareas!$N$6:$N$205,0),1)&amp;CHAR(10)&amp;INDEX(Tareas!$C$6:$C$205,MATCH(D$5&amp;"_"&amp;67,Tareas!$N$6:$N$205,0),1)&amp;CHAR(10)&amp;INDEX(Tareas!$E$6:$E$205,MATCH(D$5&amp;"_"&amp;67,Tareas!$N$6:$N$205,0),1)&amp;CHAR(10)&amp;INDEX(Tareas!$O$6:$O$205,MATCH(D$5&amp;"_"&amp;67,Tareas!$N$6:$N$205,0),1))</x:f>
      </x:c>
      <x:c r="E72" s="21" t="str">
        <x:f>IF(67&gt;E$4,"",INDEX(Tareas!$A$6:$A$205,MATCH(E$5&amp;"_"&amp;67,Tareas!$N$6:$N$205,0),1)&amp;" · "&amp;INDEX(Tareas!$D$6:$D$205,MATCH(E$5&amp;"_"&amp;67,Tareas!$N$6:$N$205,0),1)&amp;CHAR(10)&amp;INDEX(Tareas!$C$6:$C$205,MATCH(E$5&amp;"_"&amp;67,Tareas!$N$6:$N$205,0),1)&amp;CHAR(10)&amp;INDEX(Tareas!$E$6:$E$205,MATCH(E$5&amp;"_"&amp;67,Tareas!$N$6:$N$205,0),1)&amp;CHAR(10)&amp;INDEX(Tareas!$O$6:$O$205,MATCH(E$5&amp;"_"&amp;67,Tareas!$N$6:$N$205,0),1))</x:f>
      </x:c>
      <x:c r="F72" s="21" t="str">
        <x:f>IF(67&gt;F$4,"",INDEX(Tareas!$A$6:$A$205,MATCH(F$5&amp;"_"&amp;67,Tareas!$N$6:$N$205,0),1)&amp;" · "&amp;INDEX(Tareas!$D$6:$D$205,MATCH(F$5&amp;"_"&amp;67,Tareas!$N$6:$N$205,0),1)&amp;CHAR(10)&amp;INDEX(Tareas!$C$6:$C$205,MATCH(F$5&amp;"_"&amp;67,Tareas!$N$6:$N$205,0),1)&amp;CHAR(10)&amp;INDEX(Tareas!$E$6:$E$205,MATCH(F$5&amp;"_"&amp;67,Tareas!$N$6:$N$205,0),1)&amp;CHAR(10)&amp;INDEX(Tareas!$O$6:$O$205,MATCH(F$5&amp;"_"&amp;67,Tareas!$N$6:$N$205,0),1))</x:f>
      </x:c>
    </x:row>
    <x:row r="73" ht="76" customHeight="1">
      <x:c r="A73" s="21" t="str">
        <x:f>IF(68&gt;A$4,"",INDEX(Tareas!$A$6:$A$205,MATCH(A$5&amp;"_"&amp;68,Tareas!$N$6:$N$205,0),1)&amp;" · "&amp;INDEX(Tareas!$D$6:$D$205,MATCH(A$5&amp;"_"&amp;68,Tareas!$N$6:$N$205,0),1)&amp;CHAR(10)&amp;INDEX(Tareas!$C$6:$C$205,MATCH(A$5&amp;"_"&amp;68,Tareas!$N$6:$N$205,0),1)&amp;CHAR(10)&amp;INDEX(Tareas!$E$6:$E$205,MATCH(A$5&amp;"_"&amp;68,Tareas!$N$6:$N$205,0),1)&amp;CHAR(10)&amp;INDEX(Tareas!$O$6:$O$205,MATCH(A$5&amp;"_"&amp;68,Tareas!$N$6:$N$205,0),1))</x:f>
      </x:c>
      <x:c r="B73" s="21" t="str">
        <x:f>IF(68&gt;B$4,"",INDEX(Tareas!$A$6:$A$205,MATCH(B$5&amp;"_"&amp;68,Tareas!$N$6:$N$205,0),1)&amp;" · "&amp;INDEX(Tareas!$D$6:$D$205,MATCH(B$5&amp;"_"&amp;68,Tareas!$N$6:$N$205,0),1)&amp;CHAR(10)&amp;INDEX(Tareas!$C$6:$C$205,MATCH(B$5&amp;"_"&amp;68,Tareas!$N$6:$N$205,0),1)&amp;CHAR(10)&amp;INDEX(Tareas!$E$6:$E$205,MATCH(B$5&amp;"_"&amp;68,Tareas!$N$6:$N$205,0),1)&amp;CHAR(10)&amp;INDEX(Tareas!$O$6:$O$205,MATCH(B$5&amp;"_"&amp;68,Tareas!$N$6:$N$205,0),1))</x:f>
      </x:c>
      <x:c r="C73" s="21" t="str">
        <x:f>IF(68&gt;C$4,"",INDEX(Tareas!$A$6:$A$205,MATCH(C$5&amp;"_"&amp;68,Tareas!$N$6:$N$205,0),1)&amp;" · "&amp;INDEX(Tareas!$D$6:$D$205,MATCH(C$5&amp;"_"&amp;68,Tareas!$N$6:$N$205,0),1)&amp;CHAR(10)&amp;INDEX(Tareas!$C$6:$C$205,MATCH(C$5&amp;"_"&amp;68,Tareas!$N$6:$N$205,0),1)&amp;CHAR(10)&amp;INDEX(Tareas!$E$6:$E$205,MATCH(C$5&amp;"_"&amp;68,Tareas!$N$6:$N$205,0),1)&amp;CHAR(10)&amp;INDEX(Tareas!$O$6:$O$205,MATCH(C$5&amp;"_"&amp;68,Tareas!$N$6:$N$205,0),1))</x:f>
      </x:c>
      <x:c r="D73" s="21" t="str">
        <x:f>IF(68&gt;D$4,"",INDEX(Tareas!$A$6:$A$205,MATCH(D$5&amp;"_"&amp;68,Tareas!$N$6:$N$205,0),1)&amp;" · "&amp;INDEX(Tareas!$D$6:$D$205,MATCH(D$5&amp;"_"&amp;68,Tareas!$N$6:$N$205,0),1)&amp;CHAR(10)&amp;INDEX(Tareas!$C$6:$C$205,MATCH(D$5&amp;"_"&amp;68,Tareas!$N$6:$N$205,0),1)&amp;CHAR(10)&amp;INDEX(Tareas!$E$6:$E$205,MATCH(D$5&amp;"_"&amp;68,Tareas!$N$6:$N$205,0),1)&amp;CHAR(10)&amp;INDEX(Tareas!$O$6:$O$205,MATCH(D$5&amp;"_"&amp;68,Tareas!$N$6:$N$205,0),1))</x:f>
      </x:c>
      <x:c r="E73" s="21" t="str">
        <x:f>IF(68&gt;E$4,"",INDEX(Tareas!$A$6:$A$205,MATCH(E$5&amp;"_"&amp;68,Tareas!$N$6:$N$205,0),1)&amp;" · "&amp;INDEX(Tareas!$D$6:$D$205,MATCH(E$5&amp;"_"&amp;68,Tareas!$N$6:$N$205,0),1)&amp;CHAR(10)&amp;INDEX(Tareas!$C$6:$C$205,MATCH(E$5&amp;"_"&amp;68,Tareas!$N$6:$N$205,0),1)&amp;CHAR(10)&amp;INDEX(Tareas!$E$6:$E$205,MATCH(E$5&amp;"_"&amp;68,Tareas!$N$6:$N$205,0),1)&amp;CHAR(10)&amp;INDEX(Tareas!$O$6:$O$205,MATCH(E$5&amp;"_"&amp;68,Tareas!$N$6:$N$205,0),1))</x:f>
      </x:c>
      <x:c r="F73" s="21" t="str">
        <x:f>IF(68&gt;F$4,"",INDEX(Tareas!$A$6:$A$205,MATCH(F$5&amp;"_"&amp;68,Tareas!$N$6:$N$205,0),1)&amp;" · "&amp;INDEX(Tareas!$D$6:$D$205,MATCH(F$5&amp;"_"&amp;68,Tareas!$N$6:$N$205,0),1)&amp;CHAR(10)&amp;INDEX(Tareas!$C$6:$C$205,MATCH(F$5&amp;"_"&amp;68,Tareas!$N$6:$N$205,0),1)&amp;CHAR(10)&amp;INDEX(Tareas!$E$6:$E$205,MATCH(F$5&amp;"_"&amp;68,Tareas!$N$6:$N$205,0),1)&amp;CHAR(10)&amp;INDEX(Tareas!$O$6:$O$205,MATCH(F$5&amp;"_"&amp;68,Tareas!$N$6:$N$205,0),1))</x:f>
      </x:c>
    </x:row>
    <x:row r="74" ht="76" customHeight="1">
      <x:c r="A74" s="21" t="str">
        <x:f>IF(69&gt;A$4,"",INDEX(Tareas!$A$6:$A$205,MATCH(A$5&amp;"_"&amp;69,Tareas!$N$6:$N$205,0),1)&amp;" · "&amp;INDEX(Tareas!$D$6:$D$205,MATCH(A$5&amp;"_"&amp;69,Tareas!$N$6:$N$205,0),1)&amp;CHAR(10)&amp;INDEX(Tareas!$C$6:$C$205,MATCH(A$5&amp;"_"&amp;69,Tareas!$N$6:$N$205,0),1)&amp;CHAR(10)&amp;INDEX(Tareas!$E$6:$E$205,MATCH(A$5&amp;"_"&amp;69,Tareas!$N$6:$N$205,0),1)&amp;CHAR(10)&amp;INDEX(Tareas!$O$6:$O$205,MATCH(A$5&amp;"_"&amp;69,Tareas!$N$6:$N$205,0),1))</x:f>
      </x:c>
      <x:c r="B74" s="21" t="str">
        <x:f>IF(69&gt;B$4,"",INDEX(Tareas!$A$6:$A$205,MATCH(B$5&amp;"_"&amp;69,Tareas!$N$6:$N$205,0),1)&amp;" · "&amp;INDEX(Tareas!$D$6:$D$205,MATCH(B$5&amp;"_"&amp;69,Tareas!$N$6:$N$205,0),1)&amp;CHAR(10)&amp;INDEX(Tareas!$C$6:$C$205,MATCH(B$5&amp;"_"&amp;69,Tareas!$N$6:$N$205,0),1)&amp;CHAR(10)&amp;INDEX(Tareas!$E$6:$E$205,MATCH(B$5&amp;"_"&amp;69,Tareas!$N$6:$N$205,0),1)&amp;CHAR(10)&amp;INDEX(Tareas!$O$6:$O$205,MATCH(B$5&amp;"_"&amp;69,Tareas!$N$6:$N$205,0),1))</x:f>
      </x:c>
      <x:c r="C74" s="21" t="str">
        <x:f>IF(69&gt;C$4,"",INDEX(Tareas!$A$6:$A$205,MATCH(C$5&amp;"_"&amp;69,Tareas!$N$6:$N$205,0),1)&amp;" · "&amp;INDEX(Tareas!$D$6:$D$205,MATCH(C$5&amp;"_"&amp;69,Tareas!$N$6:$N$205,0),1)&amp;CHAR(10)&amp;INDEX(Tareas!$C$6:$C$205,MATCH(C$5&amp;"_"&amp;69,Tareas!$N$6:$N$205,0),1)&amp;CHAR(10)&amp;INDEX(Tareas!$E$6:$E$205,MATCH(C$5&amp;"_"&amp;69,Tareas!$N$6:$N$205,0),1)&amp;CHAR(10)&amp;INDEX(Tareas!$O$6:$O$205,MATCH(C$5&amp;"_"&amp;69,Tareas!$N$6:$N$205,0),1))</x:f>
      </x:c>
      <x:c r="D74" s="21" t="str">
        <x:f>IF(69&gt;D$4,"",INDEX(Tareas!$A$6:$A$205,MATCH(D$5&amp;"_"&amp;69,Tareas!$N$6:$N$205,0),1)&amp;" · "&amp;INDEX(Tareas!$D$6:$D$205,MATCH(D$5&amp;"_"&amp;69,Tareas!$N$6:$N$205,0),1)&amp;CHAR(10)&amp;INDEX(Tareas!$C$6:$C$205,MATCH(D$5&amp;"_"&amp;69,Tareas!$N$6:$N$205,0),1)&amp;CHAR(10)&amp;INDEX(Tareas!$E$6:$E$205,MATCH(D$5&amp;"_"&amp;69,Tareas!$N$6:$N$205,0),1)&amp;CHAR(10)&amp;INDEX(Tareas!$O$6:$O$205,MATCH(D$5&amp;"_"&amp;69,Tareas!$N$6:$N$205,0),1))</x:f>
      </x:c>
      <x:c r="E74" s="21" t="str">
        <x:f>IF(69&gt;E$4,"",INDEX(Tareas!$A$6:$A$205,MATCH(E$5&amp;"_"&amp;69,Tareas!$N$6:$N$205,0),1)&amp;" · "&amp;INDEX(Tareas!$D$6:$D$205,MATCH(E$5&amp;"_"&amp;69,Tareas!$N$6:$N$205,0),1)&amp;CHAR(10)&amp;INDEX(Tareas!$C$6:$C$205,MATCH(E$5&amp;"_"&amp;69,Tareas!$N$6:$N$205,0),1)&amp;CHAR(10)&amp;INDEX(Tareas!$E$6:$E$205,MATCH(E$5&amp;"_"&amp;69,Tareas!$N$6:$N$205,0),1)&amp;CHAR(10)&amp;INDEX(Tareas!$O$6:$O$205,MATCH(E$5&amp;"_"&amp;69,Tareas!$N$6:$N$205,0),1))</x:f>
      </x:c>
      <x:c r="F74" s="21" t="str">
        <x:f>IF(69&gt;F$4,"",INDEX(Tareas!$A$6:$A$205,MATCH(F$5&amp;"_"&amp;69,Tareas!$N$6:$N$205,0),1)&amp;" · "&amp;INDEX(Tareas!$D$6:$D$205,MATCH(F$5&amp;"_"&amp;69,Tareas!$N$6:$N$205,0),1)&amp;CHAR(10)&amp;INDEX(Tareas!$C$6:$C$205,MATCH(F$5&amp;"_"&amp;69,Tareas!$N$6:$N$205,0),1)&amp;CHAR(10)&amp;INDEX(Tareas!$E$6:$E$205,MATCH(F$5&amp;"_"&amp;69,Tareas!$N$6:$N$205,0),1)&amp;CHAR(10)&amp;INDEX(Tareas!$O$6:$O$205,MATCH(F$5&amp;"_"&amp;69,Tareas!$N$6:$N$205,0),1))</x:f>
      </x:c>
    </x:row>
    <x:row r="75" ht="76" customHeight="1">
      <x:c r="A75" s="21" t="str">
        <x:f>IF(70&gt;A$4,"",INDEX(Tareas!$A$6:$A$205,MATCH(A$5&amp;"_"&amp;70,Tareas!$N$6:$N$205,0),1)&amp;" · "&amp;INDEX(Tareas!$D$6:$D$205,MATCH(A$5&amp;"_"&amp;70,Tareas!$N$6:$N$205,0),1)&amp;CHAR(10)&amp;INDEX(Tareas!$C$6:$C$205,MATCH(A$5&amp;"_"&amp;70,Tareas!$N$6:$N$205,0),1)&amp;CHAR(10)&amp;INDEX(Tareas!$E$6:$E$205,MATCH(A$5&amp;"_"&amp;70,Tareas!$N$6:$N$205,0),1)&amp;CHAR(10)&amp;INDEX(Tareas!$O$6:$O$205,MATCH(A$5&amp;"_"&amp;70,Tareas!$N$6:$N$205,0),1))</x:f>
      </x:c>
      <x:c r="B75" s="21" t="str">
        <x:f>IF(70&gt;B$4,"",INDEX(Tareas!$A$6:$A$205,MATCH(B$5&amp;"_"&amp;70,Tareas!$N$6:$N$205,0),1)&amp;" · "&amp;INDEX(Tareas!$D$6:$D$205,MATCH(B$5&amp;"_"&amp;70,Tareas!$N$6:$N$205,0),1)&amp;CHAR(10)&amp;INDEX(Tareas!$C$6:$C$205,MATCH(B$5&amp;"_"&amp;70,Tareas!$N$6:$N$205,0),1)&amp;CHAR(10)&amp;INDEX(Tareas!$E$6:$E$205,MATCH(B$5&amp;"_"&amp;70,Tareas!$N$6:$N$205,0),1)&amp;CHAR(10)&amp;INDEX(Tareas!$O$6:$O$205,MATCH(B$5&amp;"_"&amp;70,Tareas!$N$6:$N$205,0),1))</x:f>
      </x:c>
      <x:c r="C75" s="21" t="str">
        <x:f>IF(70&gt;C$4,"",INDEX(Tareas!$A$6:$A$205,MATCH(C$5&amp;"_"&amp;70,Tareas!$N$6:$N$205,0),1)&amp;" · "&amp;INDEX(Tareas!$D$6:$D$205,MATCH(C$5&amp;"_"&amp;70,Tareas!$N$6:$N$205,0),1)&amp;CHAR(10)&amp;INDEX(Tareas!$C$6:$C$205,MATCH(C$5&amp;"_"&amp;70,Tareas!$N$6:$N$205,0),1)&amp;CHAR(10)&amp;INDEX(Tareas!$E$6:$E$205,MATCH(C$5&amp;"_"&amp;70,Tareas!$N$6:$N$205,0),1)&amp;CHAR(10)&amp;INDEX(Tareas!$O$6:$O$205,MATCH(C$5&amp;"_"&amp;70,Tareas!$N$6:$N$205,0),1))</x:f>
      </x:c>
      <x:c r="D75" s="21" t="str">
        <x:f>IF(70&gt;D$4,"",INDEX(Tareas!$A$6:$A$205,MATCH(D$5&amp;"_"&amp;70,Tareas!$N$6:$N$205,0),1)&amp;" · "&amp;INDEX(Tareas!$D$6:$D$205,MATCH(D$5&amp;"_"&amp;70,Tareas!$N$6:$N$205,0),1)&amp;CHAR(10)&amp;INDEX(Tareas!$C$6:$C$205,MATCH(D$5&amp;"_"&amp;70,Tareas!$N$6:$N$205,0),1)&amp;CHAR(10)&amp;INDEX(Tareas!$E$6:$E$205,MATCH(D$5&amp;"_"&amp;70,Tareas!$N$6:$N$205,0),1)&amp;CHAR(10)&amp;INDEX(Tareas!$O$6:$O$205,MATCH(D$5&amp;"_"&amp;70,Tareas!$N$6:$N$205,0),1))</x:f>
      </x:c>
      <x:c r="E75" s="21" t="str">
        <x:f>IF(70&gt;E$4,"",INDEX(Tareas!$A$6:$A$205,MATCH(E$5&amp;"_"&amp;70,Tareas!$N$6:$N$205,0),1)&amp;" · "&amp;INDEX(Tareas!$D$6:$D$205,MATCH(E$5&amp;"_"&amp;70,Tareas!$N$6:$N$205,0),1)&amp;CHAR(10)&amp;INDEX(Tareas!$C$6:$C$205,MATCH(E$5&amp;"_"&amp;70,Tareas!$N$6:$N$205,0),1)&amp;CHAR(10)&amp;INDEX(Tareas!$E$6:$E$205,MATCH(E$5&amp;"_"&amp;70,Tareas!$N$6:$N$205,0),1)&amp;CHAR(10)&amp;INDEX(Tareas!$O$6:$O$205,MATCH(E$5&amp;"_"&amp;70,Tareas!$N$6:$N$205,0),1))</x:f>
      </x:c>
      <x:c r="F75" s="21" t="str">
        <x:f>IF(70&gt;F$4,"",INDEX(Tareas!$A$6:$A$205,MATCH(F$5&amp;"_"&amp;70,Tareas!$N$6:$N$205,0),1)&amp;" · "&amp;INDEX(Tareas!$D$6:$D$205,MATCH(F$5&amp;"_"&amp;70,Tareas!$N$6:$N$205,0),1)&amp;CHAR(10)&amp;INDEX(Tareas!$C$6:$C$205,MATCH(F$5&amp;"_"&amp;70,Tareas!$N$6:$N$205,0),1)&amp;CHAR(10)&amp;INDEX(Tareas!$E$6:$E$205,MATCH(F$5&amp;"_"&amp;70,Tareas!$N$6:$N$205,0),1)&amp;CHAR(10)&amp;INDEX(Tareas!$O$6:$O$205,MATCH(F$5&amp;"_"&amp;70,Tareas!$N$6:$N$205,0),1))</x:f>
      </x:c>
    </x:row>
    <x:row r="76" ht="76" customHeight="1">
      <x:c r="A76" s="21" t="str">
        <x:f>IF(71&gt;A$4,"",INDEX(Tareas!$A$6:$A$205,MATCH(A$5&amp;"_"&amp;71,Tareas!$N$6:$N$205,0),1)&amp;" · "&amp;INDEX(Tareas!$D$6:$D$205,MATCH(A$5&amp;"_"&amp;71,Tareas!$N$6:$N$205,0),1)&amp;CHAR(10)&amp;INDEX(Tareas!$C$6:$C$205,MATCH(A$5&amp;"_"&amp;71,Tareas!$N$6:$N$205,0),1)&amp;CHAR(10)&amp;INDEX(Tareas!$E$6:$E$205,MATCH(A$5&amp;"_"&amp;71,Tareas!$N$6:$N$205,0),1)&amp;CHAR(10)&amp;INDEX(Tareas!$O$6:$O$205,MATCH(A$5&amp;"_"&amp;71,Tareas!$N$6:$N$205,0),1))</x:f>
      </x:c>
      <x:c r="B76" s="21" t="str">
        <x:f>IF(71&gt;B$4,"",INDEX(Tareas!$A$6:$A$205,MATCH(B$5&amp;"_"&amp;71,Tareas!$N$6:$N$205,0),1)&amp;" · "&amp;INDEX(Tareas!$D$6:$D$205,MATCH(B$5&amp;"_"&amp;71,Tareas!$N$6:$N$205,0),1)&amp;CHAR(10)&amp;INDEX(Tareas!$C$6:$C$205,MATCH(B$5&amp;"_"&amp;71,Tareas!$N$6:$N$205,0),1)&amp;CHAR(10)&amp;INDEX(Tareas!$E$6:$E$205,MATCH(B$5&amp;"_"&amp;71,Tareas!$N$6:$N$205,0),1)&amp;CHAR(10)&amp;INDEX(Tareas!$O$6:$O$205,MATCH(B$5&amp;"_"&amp;71,Tareas!$N$6:$N$205,0),1))</x:f>
      </x:c>
      <x:c r="C76" s="21" t="str">
        <x:f>IF(71&gt;C$4,"",INDEX(Tareas!$A$6:$A$205,MATCH(C$5&amp;"_"&amp;71,Tareas!$N$6:$N$205,0),1)&amp;" · "&amp;INDEX(Tareas!$D$6:$D$205,MATCH(C$5&amp;"_"&amp;71,Tareas!$N$6:$N$205,0),1)&amp;CHAR(10)&amp;INDEX(Tareas!$C$6:$C$205,MATCH(C$5&amp;"_"&amp;71,Tareas!$N$6:$N$205,0),1)&amp;CHAR(10)&amp;INDEX(Tareas!$E$6:$E$205,MATCH(C$5&amp;"_"&amp;71,Tareas!$N$6:$N$205,0),1)&amp;CHAR(10)&amp;INDEX(Tareas!$O$6:$O$205,MATCH(C$5&amp;"_"&amp;71,Tareas!$N$6:$N$205,0),1))</x:f>
      </x:c>
      <x:c r="D76" s="21" t="str">
        <x:f>IF(71&gt;D$4,"",INDEX(Tareas!$A$6:$A$205,MATCH(D$5&amp;"_"&amp;71,Tareas!$N$6:$N$205,0),1)&amp;" · "&amp;INDEX(Tareas!$D$6:$D$205,MATCH(D$5&amp;"_"&amp;71,Tareas!$N$6:$N$205,0),1)&amp;CHAR(10)&amp;INDEX(Tareas!$C$6:$C$205,MATCH(D$5&amp;"_"&amp;71,Tareas!$N$6:$N$205,0),1)&amp;CHAR(10)&amp;INDEX(Tareas!$E$6:$E$205,MATCH(D$5&amp;"_"&amp;71,Tareas!$N$6:$N$205,0),1)&amp;CHAR(10)&amp;INDEX(Tareas!$O$6:$O$205,MATCH(D$5&amp;"_"&amp;71,Tareas!$N$6:$N$205,0),1))</x:f>
      </x:c>
      <x:c r="E76" s="21" t="str">
        <x:f>IF(71&gt;E$4,"",INDEX(Tareas!$A$6:$A$205,MATCH(E$5&amp;"_"&amp;71,Tareas!$N$6:$N$205,0),1)&amp;" · "&amp;INDEX(Tareas!$D$6:$D$205,MATCH(E$5&amp;"_"&amp;71,Tareas!$N$6:$N$205,0),1)&amp;CHAR(10)&amp;INDEX(Tareas!$C$6:$C$205,MATCH(E$5&amp;"_"&amp;71,Tareas!$N$6:$N$205,0),1)&amp;CHAR(10)&amp;INDEX(Tareas!$E$6:$E$205,MATCH(E$5&amp;"_"&amp;71,Tareas!$N$6:$N$205,0),1)&amp;CHAR(10)&amp;INDEX(Tareas!$O$6:$O$205,MATCH(E$5&amp;"_"&amp;71,Tareas!$N$6:$N$205,0),1))</x:f>
      </x:c>
      <x:c r="F76" s="21" t="str">
        <x:f>IF(71&gt;F$4,"",INDEX(Tareas!$A$6:$A$205,MATCH(F$5&amp;"_"&amp;71,Tareas!$N$6:$N$205,0),1)&amp;" · "&amp;INDEX(Tareas!$D$6:$D$205,MATCH(F$5&amp;"_"&amp;71,Tareas!$N$6:$N$205,0),1)&amp;CHAR(10)&amp;INDEX(Tareas!$C$6:$C$205,MATCH(F$5&amp;"_"&amp;71,Tareas!$N$6:$N$205,0),1)&amp;CHAR(10)&amp;INDEX(Tareas!$E$6:$E$205,MATCH(F$5&amp;"_"&amp;71,Tareas!$N$6:$N$205,0),1)&amp;CHAR(10)&amp;INDEX(Tareas!$O$6:$O$205,MATCH(F$5&amp;"_"&amp;71,Tareas!$N$6:$N$205,0),1))</x:f>
      </x:c>
    </x:row>
    <x:row r="77" ht="76" customHeight="1">
      <x:c r="A77" s="21" t="str">
        <x:f>IF(72&gt;A$4,"",INDEX(Tareas!$A$6:$A$205,MATCH(A$5&amp;"_"&amp;72,Tareas!$N$6:$N$205,0),1)&amp;" · "&amp;INDEX(Tareas!$D$6:$D$205,MATCH(A$5&amp;"_"&amp;72,Tareas!$N$6:$N$205,0),1)&amp;CHAR(10)&amp;INDEX(Tareas!$C$6:$C$205,MATCH(A$5&amp;"_"&amp;72,Tareas!$N$6:$N$205,0),1)&amp;CHAR(10)&amp;INDEX(Tareas!$E$6:$E$205,MATCH(A$5&amp;"_"&amp;72,Tareas!$N$6:$N$205,0),1)&amp;CHAR(10)&amp;INDEX(Tareas!$O$6:$O$205,MATCH(A$5&amp;"_"&amp;72,Tareas!$N$6:$N$205,0),1))</x:f>
      </x:c>
      <x:c r="B77" s="21" t="str">
        <x:f>IF(72&gt;B$4,"",INDEX(Tareas!$A$6:$A$205,MATCH(B$5&amp;"_"&amp;72,Tareas!$N$6:$N$205,0),1)&amp;" · "&amp;INDEX(Tareas!$D$6:$D$205,MATCH(B$5&amp;"_"&amp;72,Tareas!$N$6:$N$205,0),1)&amp;CHAR(10)&amp;INDEX(Tareas!$C$6:$C$205,MATCH(B$5&amp;"_"&amp;72,Tareas!$N$6:$N$205,0),1)&amp;CHAR(10)&amp;INDEX(Tareas!$E$6:$E$205,MATCH(B$5&amp;"_"&amp;72,Tareas!$N$6:$N$205,0),1)&amp;CHAR(10)&amp;INDEX(Tareas!$O$6:$O$205,MATCH(B$5&amp;"_"&amp;72,Tareas!$N$6:$N$205,0),1))</x:f>
      </x:c>
      <x:c r="C77" s="21" t="str">
        <x:f>IF(72&gt;C$4,"",INDEX(Tareas!$A$6:$A$205,MATCH(C$5&amp;"_"&amp;72,Tareas!$N$6:$N$205,0),1)&amp;" · "&amp;INDEX(Tareas!$D$6:$D$205,MATCH(C$5&amp;"_"&amp;72,Tareas!$N$6:$N$205,0),1)&amp;CHAR(10)&amp;INDEX(Tareas!$C$6:$C$205,MATCH(C$5&amp;"_"&amp;72,Tareas!$N$6:$N$205,0),1)&amp;CHAR(10)&amp;INDEX(Tareas!$E$6:$E$205,MATCH(C$5&amp;"_"&amp;72,Tareas!$N$6:$N$205,0),1)&amp;CHAR(10)&amp;INDEX(Tareas!$O$6:$O$205,MATCH(C$5&amp;"_"&amp;72,Tareas!$N$6:$N$205,0),1))</x:f>
      </x:c>
      <x:c r="D77" s="21" t="str">
        <x:f>IF(72&gt;D$4,"",INDEX(Tareas!$A$6:$A$205,MATCH(D$5&amp;"_"&amp;72,Tareas!$N$6:$N$205,0),1)&amp;" · "&amp;INDEX(Tareas!$D$6:$D$205,MATCH(D$5&amp;"_"&amp;72,Tareas!$N$6:$N$205,0),1)&amp;CHAR(10)&amp;INDEX(Tareas!$C$6:$C$205,MATCH(D$5&amp;"_"&amp;72,Tareas!$N$6:$N$205,0),1)&amp;CHAR(10)&amp;INDEX(Tareas!$E$6:$E$205,MATCH(D$5&amp;"_"&amp;72,Tareas!$N$6:$N$205,0),1)&amp;CHAR(10)&amp;INDEX(Tareas!$O$6:$O$205,MATCH(D$5&amp;"_"&amp;72,Tareas!$N$6:$N$205,0),1))</x:f>
      </x:c>
      <x:c r="E77" s="21" t="str">
        <x:f>IF(72&gt;E$4,"",INDEX(Tareas!$A$6:$A$205,MATCH(E$5&amp;"_"&amp;72,Tareas!$N$6:$N$205,0),1)&amp;" · "&amp;INDEX(Tareas!$D$6:$D$205,MATCH(E$5&amp;"_"&amp;72,Tareas!$N$6:$N$205,0),1)&amp;CHAR(10)&amp;INDEX(Tareas!$C$6:$C$205,MATCH(E$5&amp;"_"&amp;72,Tareas!$N$6:$N$205,0),1)&amp;CHAR(10)&amp;INDEX(Tareas!$E$6:$E$205,MATCH(E$5&amp;"_"&amp;72,Tareas!$N$6:$N$205,0),1)&amp;CHAR(10)&amp;INDEX(Tareas!$O$6:$O$205,MATCH(E$5&amp;"_"&amp;72,Tareas!$N$6:$N$205,0),1))</x:f>
      </x:c>
      <x:c r="F77" s="21" t="str">
        <x:f>IF(72&gt;F$4,"",INDEX(Tareas!$A$6:$A$205,MATCH(F$5&amp;"_"&amp;72,Tareas!$N$6:$N$205,0),1)&amp;" · "&amp;INDEX(Tareas!$D$6:$D$205,MATCH(F$5&amp;"_"&amp;72,Tareas!$N$6:$N$205,0),1)&amp;CHAR(10)&amp;INDEX(Tareas!$C$6:$C$205,MATCH(F$5&amp;"_"&amp;72,Tareas!$N$6:$N$205,0),1)&amp;CHAR(10)&amp;INDEX(Tareas!$E$6:$E$205,MATCH(F$5&amp;"_"&amp;72,Tareas!$N$6:$N$205,0),1)&amp;CHAR(10)&amp;INDEX(Tareas!$O$6:$O$205,MATCH(F$5&amp;"_"&amp;72,Tareas!$N$6:$N$205,0),1))</x:f>
      </x:c>
    </x:row>
    <x:row r="78" ht="76" customHeight="1">
      <x:c r="A78" s="21" t="str">
        <x:f>IF(73&gt;A$4,"",INDEX(Tareas!$A$6:$A$205,MATCH(A$5&amp;"_"&amp;73,Tareas!$N$6:$N$205,0),1)&amp;" · "&amp;INDEX(Tareas!$D$6:$D$205,MATCH(A$5&amp;"_"&amp;73,Tareas!$N$6:$N$205,0),1)&amp;CHAR(10)&amp;INDEX(Tareas!$C$6:$C$205,MATCH(A$5&amp;"_"&amp;73,Tareas!$N$6:$N$205,0),1)&amp;CHAR(10)&amp;INDEX(Tareas!$E$6:$E$205,MATCH(A$5&amp;"_"&amp;73,Tareas!$N$6:$N$205,0),1)&amp;CHAR(10)&amp;INDEX(Tareas!$O$6:$O$205,MATCH(A$5&amp;"_"&amp;73,Tareas!$N$6:$N$205,0),1))</x:f>
      </x:c>
      <x:c r="B78" s="21" t="str">
        <x:f>IF(73&gt;B$4,"",INDEX(Tareas!$A$6:$A$205,MATCH(B$5&amp;"_"&amp;73,Tareas!$N$6:$N$205,0),1)&amp;" · "&amp;INDEX(Tareas!$D$6:$D$205,MATCH(B$5&amp;"_"&amp;73,Tareas!$N$6:$N$205,0),1)&amp;CHAR(10)&amp;INDEX(Tareas!$C$6:$C$205,MATCH(B$5&amp;"_"&amp;73,Tareas!$N$6:$N$205,0),1)&amp;CHAR(10)&amp;INDEX(Tareas!$E$6:$E$205,MATCH(B$5&amp;"_"&amp;73,Tareas!$N$6:$N$205,0),1)&amp;CHAR(10)&amp;INDEX(Tareas!$O$6:$O$205,MATCH(B$5&amp;"_"&amp;73,Tareas!$N$6:$N$205,0),1))</x:f>
      </x:c>
      <x:c r="C78" s="21" t="str">
        <x:f>IF(73&gt;C$4,"",INDEX(Tareas!$A$6:$A$205,MATCH(C$5&amp;"_"&amp;73,Tareas!$N$6:$N$205,0),1)&amp;" · "&amp;INDEX(Tareas!$D$6:$D$205,MATCH(C$5&amp;"_"&amp;73,Tareas!$N$6:$N$205,0),1)&amp;CHAR(10)&amp;INDEX(Tareas!$C$6:$C$205,MATCH(C$5&amp;"_"&amp;73,Tareas!$N$6:$N$205,0),1)&amp;CHAR(10)&amp;INDEX(Tareas!$E$6:$E$205,MATCH(C$5&amp;"_"&amp;73,Tareas!$N$6:$N$205,0),1)&amp;CHAR(10)&amp;INDEX(Tareas!$O$6:$O$205,MATCH(C$5&amp;"_"&amp;73,Tareas!$N$6:$N$205,0),1))</x:f>
      </x:c>
      <x:c r="D78" s="21" t="str">
        <x:f>IF(73&gt;D$4,"",INDEX(Tareas!$A$6:$A$205,MATCH(D$5&amp;"_"&amp;73,Tareas!$N$6:$N$205,0),1)&amp;" · "&amp;INDEX(Tareas!$D$6:$D$205,MATCH(D$5&amp;"_"&amp;73,Tareas!$N$6:$N$205,0),1)&amp;CHAR(10)&amp;INDEX(Tareas!$C$6:$C$205,MATCH(D$5&amp;"_"&amp;73,Tareas!$N$6:$N$205,0),1)&amp;CHAR(10)&amp;INDEX(Tareas!$E$6:$E$205,MATCH(D$5&amp;"_"&amp;73,Tareas!$N$6:$N$205,0),1)&amp;CHAR(10)&amp;INDEX(Tareas!$O$6:$O$205,MATCH(D$5&amp;"_"&amp;73,Tareas!$N$6:$N$205,0),1))</x:f>
      </x:c>
      <x:c r="E78" s="21" t="str">
        <x:f>IF(73&gt;E$4,"",INDEX(Tareas!$A$6:$A$205,MATCH(E$5&amp;"_"&amp;73,Tareas!$N$6:$N$205,0),1)&amp;" · "&amp;INDEX(Tareas!$D$6:$D$205,MATCH(E$5&amp;"_"&amp;73,Tareas!$N$6:$N$205,0),1)&amp;CHAR(10)&amp;INDEX(Tareas!$C$6:$C$205,MATCH(E$5&amp;"_"&amp;73,Tareas!$N$6:$N$205,0),1)&amp;CHAR(10)&amp;INDEX(Tareas!$E$6:$E$205,MATCH(E$5&amp;"_"&amp;73,Tareas!$N$6:$N$205,0),1)&amp;CHAR(10)&amp;INDEX(Tareas!$O$6:$O$205,MATCH(E$5&amp;"_"&amp;73,Tareas!$N$6:$N$205,0),1))</x:f>
      </x:c>
      <x:c r="F78" s="21" t="str">
        <x:f>IF(73&gt;F$4,"",INDEX(Tareas!$A$6:$A$205,MATCH(F$5&amp;"_"&amp;73,Tareas!$N$6:$N$205,0),1)&amp;" · "&amp;INDEX(Tareas!$D$6:$D$205,MATCH(F$5&amp;"_"&amp;73,Tareas!$N$6:$N$205,0),1)&amp;CHAR(10)&amp;INDEX(Tareas!$C$6:$C$205,MATCH(F$5&amp;"_"&amp;73,Tareas!$N$6:$N$205,0),1)&amp;CHAR(10)&amp;INDEX(Tareas!$E$6:$E$205,MATCH(F$5&amp;"_"&amp;73,Tareas!$N$6:$N$205,0),1)&amp;CHAR(10)&amp;INDEX(Tareas!$O$6:$O$205,MATCH(F$5&amp;"_"&amp;73,Tareas!$N$6:$N$205,0),1))</x:f>
      </x:c>
    </x:row>
    <x:row r="79" ht="76" customHeight="1">
      <x:c r="A79" s="21" t="str">
        <x:f>IF(74&gt;A$4,"",INDEX(Tareas!$A$6:$A$205,MATCH(A$5&amp;"_"&amp;74,Tareas!$N$6:$N$205,0),1)&amp;" · "&amp;INDEX(Tareas!$D$6:$D$205,MATCH(A$5&amp;"_"&amp;74,Tareas!$N$6:$N$205,0),1)&amp;CHAR(10)&amp;INDEX(Tareas!$C$6:$C$205,MATCH(A$5&amp;"_"&amp;74,Tareas!$N$6:$N$205,0),1)&amp;CHAR(10)&amp;INDEX(Tareas!$E$6:$E$205,MATCH(A$5&amp;"_"&amp;74,Tareas!$N$6:$N$205,0),1)&amp;CHAR(10)&amp;INDEX(Tareas!$O$6:$O$205,MATCH(A$5&amp;"_"&amp;74,Tareas!$N$6:$N$205,0),1))</x:f>
      </x:c>
      <x:c r="B79" s="21" t="str">
        <x:f>IF(74&gt;B$4,"",INDEX(Tareas!$A$6:$A$205,MATCH(B$5&amp;"_"&amp;74,Tareas!$N$6:$N$205,0),1)&amp;" · "&amp;INDEX(Tareas!$D$6:$D$205,MATCH(B$5&amp;"_"&amp;74,Tareas!$N$6:$N$205,0),1)&amp;CHAR(10)&amp;INDEX(Tareas!$C$6:$C$205,MATCH(B$5&amp;"_"&amp;74,Tareas!$N$6:$N$205,0),1)&amp;CHAR(10)&amp;INDEX(Tareas!$E$6:$E$205,MATCH(B$5&amp;"_"&amp;74,Tareas!$N$6:$N$205,0),1)&amp;CHAR(10)&amp;INDEX(Tareas!$O$6:$O$205,MATCH(B$5&amp;"_"&amp;74,Tareas!$N$6:$N$205,0),1))</x:f>
      </x:c>
      <x:c r="C79" s="21" t="str">
        <x:f>IF(74&gt;C$4,"",INDEX(Tareas!$A$6:$A$205,MATCH(C$5&amp;"_"&amp;74,Tareas!$N$6:$N$205,0),1)&amp;" · "&amp;INDEX(Tareas!$D$6:$D$205,MATCH(C$5&amp;"_"&amp;74,Tareas!$N$6:$N$205,0),1)&amp;CHAR(10)&amp;INDEX(Tareas!$C$6:$C$205,MATCH(C$5&amp;"_"&amp;74,Tareas!$N$6:$N$205,0),1)&amp;CHAR(10)&amp;INDEX(Tareas!$E$6:$E$205,MATCH(C$5&amp;"_"&amp;74,Tareas!$N$6:$N$205,0),1)&amp;CHAR(10)&amp;INDEX(Tareas!$O$6:$O$205,MATCH(C$5&amp;"_"&amp;74,Tareas!$N$6:$N$205,0),1))</x:f>
      </x:c>
      <x:c r="D79" s="21" t="str">
        <x:f>IF(74&gt;D$4,"",INDEX(Tareas!$A$6:$A$205,MATCH(D$5&amp;"_"&amp;74,Tareas!$N$6:$N$205,0),1)&amp;" · "&amp;INDEX(Tareas!$D$6:$D$205,MATCH(D$5&amp;"_"&amp;74,Tareas!$N$6:$N$205,0),1)&amp;CHAR(10)&amp;INDEX(Tareas!$C$6:$C$205,MATCH(D$5&amp;"_"&amp;74,Tareas!$N$6:$N$205,0),1)&amp;CHAR(10)&amp;INDEX(Tareas!$E$6:$E$205,MATCH(D$5&amp;"_"&amp;74,Tareas!$N$6:$N$205,0),1)&amp;CHAR(10)&amp;INDEX(Tareas!$O$6:$O$205,MATCH(D$5&amp;"_"&amp;74,Tareas!$N$6:$N$205,0),1))</x:f>
      </x:c>
      <x:c r="E79" s="21" t="str">
        <x:f>IF(74&gt;E$4,"",INDEX(Tareas!$A$6:$A$205,MATCH(E$5&amp;"_"&amp;74,Tareas!$N$6:$N$205,0),1)&amp;" · "&amp;INDEX(Tareas!$D$6:$D$205,MATCH(E$5&amp;"_"&amp;74,Tareas!$N$6:$N$205,0),1)&amp;CHAR(10)&amp;INDEX(Tareas!$C$6:$C$205,MATCH(E$5&amp;"_"&amp;74,Tareas!$N$6:$N$205,0),1)&amp;CHAR(10)&amp;INDEX(Tareas!$E$6:$E$205,MATCH(E$5&amp;"_"&amp;74,Tareas!$N$6:$N$205,0),1)&amp;CHAR(10)&amp;INDEX(Tareas!$O$6:$O$205,MATCH(E$5&amp;"_"&amp;74,Tareas!$N$6:$N$205,0),1))</x:f>
      </x:c>
      <x:c r="F79" s="21" t="str">
        <x:f>IF(74&gt;F$4,"",INDEX(Tareas!$A$6:$A$205,MATCH(F$5&amp;"_"&amp;74,Tareas!$N$6:$N$205,0),1)&amp;" · "&amp;INDEX(Tareas!$D$6:$D$205,MATCH(F$5&amp;"_"&amp;74,Tareas!$N$6:$N$205,0),1)&amp;CHAR(10)&amp;INDEX(Tareas!$C$6:$C$205,MATCH(F$5&amp;"_"&amp;74,Tareas!$N$6:$N$205,0),1)&amp;CHAR(10)&amp;INDEX(Tareas!$E$6:$E$205,MATCH(F$5&amp;"_"&amp;74,Tareas!$N$6:$N$205,0),1)&amp;CHAR(10)&amp;INDEX(Tareas!$O$6:$O$205,MATCH(F$5&amp;"_"&amp;74,Tareas!$N$6:$N$205,0),1))</x:f>
      </x:c>
    </x:row>
    <x:row r="80" ht="76" customHeight="1">
      <x:c r="A80" s="21" t="str">
        <x:f>IF(75&gt;A$4,"",INDEX(Tareas!$A$6:$A$205,MATCH(A$5&amp;"_"&amp;75,Tareas!$N$6:$N$205,0),1)&amp;" · "&amp;INDEX(Tareas!$D$6:$D$205,MATCH(A$5&amp;"_"&amp;75,Tareas!$N$6:$N$205,0),1)&amp;CHAR(10)&amp;INDEX(Tareas!$C$6:$C$205,MATCH(A$5&amp;"_"&amp;75,Tareas!$N$6:$N$205,0),1)&amp;CHAR(10)&amp;INDEX(Tareas!$E$6:$E$205,MATCH(A$5&amp;"_"&amp;75,Tareas!$N$6:$N$205,0),1)&amp;CHAR(10)&amp;INDEX(Tareas!$O$6:$O$205,MATCH(A$5&amp;"_"&amp;75,Tareas!$N$6:$N$205,0),1))</x:f>
      </x:c>
      <x:c r="B80" s="21" t="str">
        <x:f>IF(75&gt;B$4,"",INDEX(Tareas!$A$6:$A$205,MATCH(B$5&amp;"_"&amp;75,Tareas!$N$6:$N$205,0),1)&amp;" · "&amp;INDEX(Tareas!$D$6:$D$205,MATCH(B$5&amp;"_"&amp;75,Tareas!$N$6:$N$205,0),1)&amp;CHAR(10)&amp;INDEX(Tareas!$C$6:$C$205,MATCH(B$5&amp;"_"&amp;75,Tareas!$N$6:$N$205,0),1)&amp;CHAR(10)&amp;INDEX(Tareas!$E$6:$E$205,MATCH(B$5&amp;"_"&amp;75,Tareas!$N$6:$N$205,0),1)&amp;CHAR(10)&amp;INDEX(Tareas!$O$6:$O$205,MATCH(B$5&amp;"_"&amp;75,Tareas!$N$6:$N$205,0),1))</x:f>
      </x:c>
      <x:c r="C80" s="21" t="str">
        <x:f>IF(75&gt;C$4,"",INDEX(Tareas!$A$6:$A$205,MATCH(C$5&amp;"_"&amp;75,Tareas!$N$6:$N$205,0),1)&amp;" · "&amp;INDEX(Tareas!$D$6:$D$205,MATCH(C$5&amp;"_"&amp;75,Tareas!$N$6:$N$205,0),1)&amp;CHAR(10)&amp;INDEX(Tareas!$C$6:$C$205,MATCH(C$5&amp;"_"&amp;75,Tareas!$N$6:$N$205,0),1)&amp;CHAR(10)&amp;INDEX(Tareas!$E$6:$E$205,MATCH(C$5&amp;"_"&amp;75,Tareas!$N$6:$N$205,0),1)&amp;CHAR(10)&amp;INDEX(Tareas!$O$6:$O$205,MATCH(C$5&amp;"_"&amp;75,Tareas!$N$6:$N$205,0),1))</x:f>
      </x:c>
      <x:c r="D80" s="21" t="str">
        <x:f>IF(75&gt;D$4,"",INDEX(Tareas!$A$6:$A$205,MATCH(D$5&amp;"_"&amp;75,Tareas!$N$6:$N$205,0),1)&amp;" · "&amp;INDEX(Tareas!$D$6:$D$205,MATCH(D$5&amp;"_"&amp;75,Tareas!$N$6:$N$205,0),1)&amp;CHAR(10)&amp;INDEX(Tareas!$C$6:$C$205,MATCH(D$5&amp;"_"&amp;75,Tareas!$N$6:$N$205,0),1)&amp;CHAR(10)&amp;INDEX(Tareas!$E$6:$E$205,MATCH(D$5&amp;"_"&amp;75,Tareas!$N$6:$N$205,0),1)&amp;CHAR(10)&amp;INDEX(Tareas!$O$6:$O$205,MATCH(D$5&amp;"_"&amp;75,Tareas!$N$6:$N$205,0),1))</x:f>
      </x:c>
      <x:c r="E80" s="21" t="str">
        <x:f>IF(75&gt;E$4,"",INDEX(Tareas!$A$6:$A$205,MATCH(E$5&amp;"_"&amp;75,Tareas!$N$6:$N$205,0),1)&amp;" · "&amp;INDEX(Tareas!$D$6:$D$205,MATCH(E$5&amp;"_"&amp;75,Tareas!$N$6:$N$205,0),1)&amp;CHAR(10)&amp;INDEX(Tareas!$C$6:$C$205,MATCH(E$5&amp;"_"&amp;75,Tareas!$N$6:$N$205,0),1)&amp;CHAR(10)&amp;INDEX(Tareas!$E$6:$E$205,MATCH(E$5&amp;"_"&amp;75,Tareas!$N$6:$N$205,0),1)&amp;CHAR(10)&amp;INDEX(Tareas!$O$6:$O$205,MATCH(E$5&amp;"_"&amp;75,Tareas!$N$6:$N$205,0),1))</x:f>
      </x:c>
      <x:c r="F80" s="21" t="str">
        <x:f>IF(75&gt;F$4,"",INDEX(Tareas!$A$6:$A$205,MATCH(F$5&amp;"_"&amp;75,Tareas!$N$6:$N$205,0),1)&amp;" · "&amp;INDEX(Tareas!$D$6:$D$205,MATCH(F$5&amp;"_"&amp;75,Tareas!$N$6:$N$205,0),1)&amp;CHAR(10)&amp;INDEX(Tareas!$C$6:$C$205,MATCH(F$5&amp;"_"&amp;75,Tareas!$N$6:$N$205,0),1)&amp;CHAR(10)&amp;INDEX(Tareas!$E$6:$E$205,MATCH(F$5&amp;"_"&amp;75,Tareas!$N$6:$N$205,0),1)&amp;CHAR(10)&amp;INDEX(Tareas!$O$6:$O$205,MATCH(F$5&amp;"_"&amp;75,Tareas!$N$6:$N$205,0),1))</x:f>
      </x:c>
    </x:row>
    <x:row r="81" ht="76" customHeight="1">
      <x:c r="A81" s="21" t="str">
        <x:f>IF(76&gt;A$4,"",INDEX(Tareas!$A$6:$A$205,MATCH(A$5&amp;"_"&amp;76,Tareas!$N$6:$N$205,0),1)&amp;" · "&amp;INDEX(Tareas!$D$6:$D$205,MATCH(A$5&amp;"_"&amp;76,Tareas!$N$6:$N$205,0),1)&amp;CHAR(10)&amp;INDEX(Tareas!$C$6:$C$205,MATCH(A$5&amp;"_"&amp;76,Tareas!$N$6:$N$205,0),1)&amp;CHAR(10)&amp;INDEX(Tareas!$E$6:$E$205,MATCH(A$5&amp;"_"&amp;76,Tareas!$N$6:$N$205,0),1)&amp;CHAR(10)&amp;INDEX(Tareas!$O$6:$O$205,MATCH(A$5&amp;"_"&amp;76,Tareas!$N$6:$N$205,0),1))</x:f>
      </x:c>
      <x:c r="B81" s="21" t="str">
        <x:f>IF(76&gt;B$4,"",INDEX(Tareas!$A$6:$A$205,MATCH(B$5&amp;"_"&amp;76,Tareas!$N$6:$N$205,0),1)&amp;" · "&amp;INDEX(Tareas!$D$6:$D$205,MATCH(B$5&amp;"_"&amp;76,Tareas!$N$6:$N$205,0),1)&amp;CHAR(10)&amp;INDEX(Tareas!$C$6:$C$205,MATCH(B$5&amp;"_"&amp;76,Tareas!$N$6:$N$205,0),1)&amp;CHAR(10)&amp;INDEX(Tareas!$E$6:$E$205,MATCH(B$5&amp;"_"&amp;76,Tareas!$N$6:$N$205,0),1)&amp;CHAR(10)&amp;INDEX(Tareas!$O$6:$O$205,MATCH(B$5&amp;"_"&amp;76,Tareas!$N$6:$N$205,0),1))</x:f>
      </x:c>
      <x:c r="C81" s="21" t="str">
        <x:f>IF(76&gt;C$4,"",INDEX(Tareas!$A$6:$A$205,MATCH(C$5&amp;"_"&amp;76,Tareas!$N$6:$N$205,0),1)&amp;" · "&amp;INDEX(Tareas!$D$6:$D$205,MATCH(C$5&amp;"_"&amp;76,Tareas!$N$6:$N$205,0),1)&amp;CHAR(10)&amp;INDEX(Tareas!$C$6:$C$205,MATCH(C$5&amp;"_"&amp;76,Tareas!$N$6:$N$205,0),1)&amp;CHAR(10)&amp;INDEX(Tareas!$E$6:$E$205,MATCH(C$5&amp;"_"&amp;76,Tareas!$N$6:$N$205,0),1)&amp;CHAR(10)&amp;INDEX(Tareas!$O$6:$O$205,MATCH(C$5&amp;"_"&amp;76,Tareas!$N$6:$N$205,0),1))</x:f>
      </x:c>
      <x:c r="D81" s="21" t="str">
        <x:f>IF(76&gt;D$4,"",INDEX(Tareas!$A$6:$A$205,MATCH(D$5&amp;"_"&amp;76,Tareas!$N$6:$N$205,0),1)&amp;" · "&amp;INDEX(Tareas!$D$6:$D$205,MATCH(D$5&amp;"_"&amp;76,Tareas!$N$6:$N$205,0),1)&amp;CHAR(10)&amp;INDEX(Tareas!$C$6:$C$205,MATCH(D$5&amp;"_"&amp;76,Tareas!$N$6:$N$205,0),1)&amp;CHAR(10)&amp;INDEX(Tareas!$E$6:$E$205,MATCH(D$5&amp;"_"&amp;76,Tareas!$N$6:$N$205,0),1)&amp;CHAR(10)&amp;INDEX(Tareas!$O$6:$O$205,MATCH(D$5&amp;"_"&amp;76,Tareas!$N$6:$N$205,0),1))</x:f>
      </x:c>
      <x:c r="E81" s="21" t="str">
        <x:f>IF(76&gt;E$4,"",INDEX(Tareas!$A$6:$A$205,MATCH(E$5&amp;"_"&amp;76,Tareas!$N$6:$N$205,0),1)&amp;" · "&amp;INDEX(Tareas!$D$6:$D$205,MATCH(E$5&amp;"_"&amp;76,Tareas!$N$6:$N$205,0),1)&amp;CHAR(10)&amp;INDEX(Tareas!$C$6:$C$205,MATCH(E$5&amp;"_"&amp;76,Tareas!$N$6:$N$205,0),1)&amp;CHAR(10)&amp;INDEX(Tareas!$E$6:$E$205,MATCH(E$5&amp;"_"&amp;76,Tareas!$N$6:$N$205,0),1)&amp;CHAR(10)&amp;INDEX(Tareas!$O$6:$O$205,MATCH(E$5&amp;"_"&amp;76,Tareas!$N$6:$N$205,0),1))</x:f>
      </x:c>
      <x:c r="F81" s="21" t="str">
        <x:f>IF(76&gt;F$4,"",INDEX(Tareas!$A$6:$A$205,MATCH(F$5&amp;"_"&amp;76,Tareas!$N$6:$N$205,0),1)&amp;" · "&amp;INDEX(Tareas!$D$6:$D$205,MATCH(F$5&amp;"_"&amp;76,Tareas!$N$6:$N$205,0),1)&amp;CHAR(10)&amp;INDEX(Tareas!$C$6:$C$205,MATCH(F$5&amp;"_"&amp;76,Tareas!$N$6:$N$205,0),1)&amp;CHAR(10)&amp;INDEX(Tareas!$E$6:$E$205,MATCH(F$5&amp;"_"&amp;76,Tareas!$N$6:$N$205,0),1)&amp;CHAR(10)&amp;INDEX(Tareas!$O$6:$O$205,MATCH(F$5&amp;"_"&amp;76,Tareas!$N$6:$N$205,0),1))</x:f>
      </x:c>
    </x:row>
    <x:row r="82" ht="76" customHeight="1">
      <x:c r="A82" s="21" t="str">
        <x:f>IF(77&gt;A$4,"",INDEX(Tareas!$A$6:$A$205,MATCH(A$5&amp;"_"&amp;77,Tareas!$N$6:$N$205,0),1)&amp;" · "&amp;INDEX(Tareas!$D$6:$D$205,MATCH(A$5&amp;"_"&amp;77,Tareas!$N$6:$N$205,0),1)&amp;CHAR(10)&amp;INDEX(Tareas!$C$6:$C$205,MATCH(A$5&amp;"_"&amp;77,Tareas!$N$6:$N$205,0),1)&amp;CHAR(10)&amp;INDEX(Tareas!$E$6:$E$205,MATCH(A$5&amp;"_"&amp;77,Tareas!$N$6:$N$205,0),1)&amp;CHAR(10)&amp;INDEX(Tareas!$O$6:$O$205,MATCH(A$5&amp;"_"&amp;77,Tareas!$N$6:$N$205,0),1))</x:f>
      </x:c>
      <x:c r="B82" s="21" t="str">
        <x:f>IF(77&gt;B$4,"",INDEX(Tareas!$A$6:$A$205,MATCH(B$5&amp;"_"&amp;77,Tareas!$N$6:$N$205,0),1)&amp;" · "&amp;INDEX(Tareas!$D$6:$D$205,MATCH(B$5&amp;"_"&amp;77,Tareas!$N$6:$N$205,0),1)&amp;CHAR(10)&amp;INDEX(Tareas!$C$6:$C$205,MATCH(B$5&amp;"_"&amp;77,Tareas!$N$6:$N$205,0),1)&amp;CHAR(10)&amp;INDEX(Tareas!$E$6:$E$205,MATCH(B$5&amp;"_"&amp;77,Tareas!$N$6:$N$205,0),1)&amp;CHAR(10)&amp;INDEX(Tareas!$O$6:$O$205,MATCH(B$5&amp;"_"&amp;77,Tareas!$N$6:$N$205,0),1))</x:f>
      </x:c>
      <x:c r="C82" s="21" t="str">
        <x:f>IF(77&gt;C$4,"",INDEX(Tareas!$A$6:$A$205,MATCH(C$5&amp;"_"&amp;77,Tareas!$N$6:$N$205,0),1)&amp;" · "&amp;INDEX(Tareas!$D$6:$D$205,MATCH(C$5&amp;"_"&amp;77,Tareas!$N$6:$N$205,0),1)&amp;CHAR(10)&amp;INDEX(Tareas!$C$6:$C$205,MATCH(C$5&amp;"_"&amp;77,Tareas!$N$6:$N$205,0),1)&amp;CHAR(10)&amp;INDEX(Tareas!$E$6:$E$205,MATCH(C$5&amp;"_"&amp;77,Tareas!$N$6:$N$205,0),1)&amp;CHAR(10)&amp;INDEX(Tareas!$O$6:$O$205,MATCH(C$5&amp;"_"&amp;77,Tareas!$N$6:$N$205,0),1))</x:f>
      </x:c>
      <x:c r="D82" s="21" t="str">
        <x:f>IF(77&gt;D$4,"",INDEX(Tareas!$A$6:$A$205,MATCH(D$5&amp;"_"&amp;77,Tareas!$N$6:$N$205,0),1)&amp;" · "&amp;INDEX(Tareas!$D$6:$D$205,MATCH(D$5&amp;"_"&amp;77,Tareas!$N$6:$N$205,0),1)&amp;CHAR(10)&amp;INDEX(Tareas!$C$6:$C$205,MATCH(D$5&amp;"_"&amp;77,Tareas!$N$6:$N$205,0),1)&amp;CHAR(10)&amp;INDEX(Tareas!$E$6:$E$205,MATCH(D$5&amp;"_"&amp;77,Tareas!$N$6:$N$205,0),1)&amp;CHAR(10)&amp;INDEX(Tareas!$O$6:$O$205,MATCH(D$5&amp;"_"&amp;77,Tareas!$N$6:$N$205,0),1))</x:f>
      </x:c>
      <x:c r="E82" s="21" t="str">
        <x:f>IF(77&gt;E$4,"",INDEX(Tareas!$A$6:$A$205,MATCH(E$5&amp;"_"&amp;77,Tareas!$N$6:$N$205,0),1)&amp;" · "&amp;INDEX(Tareas!$D$6:$D$205,MATCH(E$5&amp;"_"&amp;77,Tareas!$N$6:$N$205,0),1)&amp;CHAR(10)&amp;INDEX(Tareas!$C$6:$C$205,MATCH(E$5&amp;"_"&amp;77,Tareas!$N$6:$N$205,0),1)&amp;CHAR(10)&amp;INDEX(Tareas!$E$6:$E$205,MATCH(E$5&amp;"_"&amp;77,Tareas!$N$6:$N$205,0),1)&amp;CHAR(10)&amp;INDEX(Tareas!$O$6:$O$205,MATCH(E$5&amp;"_"&amp;77,Tareas!$N$6:$N$205,0),1))</x:f>
      </x:c>
      <x:c r="F82" s="21" t="str">
        <x:f>IF(77&gt;F$4,"",INDEX(Tareas!$A$6:$A$205,MATCH(F$5&amp;"_"&amp;77,Tareas!$N$6:$N$205,0),1)&amp;" · "&amp;INDEX(Tareas!$D$6:$D$205,MATCH(F$5&amp;"_"&amp;77,Tareas!$N$6:$N$205,0),1)&amp;CHAR(10)&amp;INDEX(Tareas!$C$6:$C$205,MATCH(F$5&amp;"_"&amp;77,Tareas!$N$6:$N$205,0),1)&amp;CHAR(10)&amp;INDEX(Tareas!$E$6:$E$205,MATCH(F$5&amp;"_"&amp;77,Tareas!$N$6:$N$205,0),1)&amp;CHAR(10)&amp;INDEX(Tareas!$O$6:$O$205,MATCH(F$5&amp;"_"&amp;77,Tareas!$N$6:$N$205,0),1))</x:f>
      </x:c>
    </x:row>
    <x:row r="83" ht="76" customHeight="1">
      <x:c r="A83" s="21" t="str">
        <x:f>IF(78&gt;A$4,"",INDEX(Tareas!$A$6:$A$205,MATCH(A$5&amp;"_"&amp;78,Tareas!$N$6:$N$205,0),1)&amp;" · "&amp;INDEX(Tareas!$D$6:$D$205,MATCH(A$5&amp;"_"&amp;78,Tareas!$N$6:$N$205,0),1)&amp;CHAR(10)&amp;INDEX(Tareas!$C$6:$C$205,MATCH(A$5&amp;"_"&amp;78,Tareas!$N$6:$N$205,0),1)&amp;CHAR(10)&amp;INDEX(Tareas!$E$6:$E$205,MATCH(A$5&amp;"_"&amp;78,Tareas!$N$6:$N$205,0),1)&amp;CHAR(10)&amp;INDEX(Tareas!$O$6:$O$205,MATCH(A$5&amp;"_"&amp;78,Tareas!$N$6:$N$205,0),1))</x:f>
      </x:c>
      <x:c r="B83" s="21" t="str">
        <x:f>IF(78&gt;B$4,"",INDEX(Tareas!$A$6:$A$205,MATCH(B$5&amp;"_"&amp;78,Tareas!$N$6:$N$205,0),1)&amp;" · "&amp;INDEX(Tareas!$D$6:$D$205,MATCH(B$5&amp;"_"&amp;78,Tareas!$N$6:$N$205,0),1)&amp;CHAR(10)&amp;INDEX(Tareas!$C$6:$C$205,MATCH(B$5&amp;"_"&amp;78,Tareas!$N$6:$N$205,0),1)&amp;CHAR(10)&amp;INDEX(Tareas!$E$6:$E$205,MATCH(B$5&amp;"_"&amp;78,Tareas!$N$6:$N$205,0),1)&amp;CHAR(10)&amp;INDEX(Tareas!$O$6:$O$205,MATCH(B$5&amp;"_"&amp;78,Tareas!$N$6:$N$205,0),1))</x:f>
      </x:c>
      <x:c r="C83" s="21" t="str">
        <x:f>IF(78&gt;C$4,"",INDEX(Tareas!$A$6:$A$205,MATCH(C$5&amp;"_"&amp;78,Tareas!$N$6:$N$205,0),1)&amp;" · "&amp;INDEX(Tareas!$D$6:$D$205,MATCH(C$5&amp;"_"&amp;78,Tareas!$N$6:$N$205,0),1)&amp;CHAR(10)&amp;INDEX(Tareas!$C$6:$C$205,MATCH(C$5&amp;"_"&amp;78,Tareas!$N$6:$N$205,0),1)&amp;CHAR(10)&amp;INDEX(Tareas!$E$6:$E$205,MATCH(C$5&amp;"_"&amp;78,Tareas!$N$6:$N$205,0),1)&amp;CHAR(10)&amp;INDEX(Tareas!$O$6:$O$205,MATCH(C$5&amp;"_"&amp;78,Tareas!$N$6:$N$205,0),1))</x:f>
      </x:c>
      <x:c r="D83" s="21" t="str">
        <x:f>IF(78&gt;D$4,"",INDEX(Tareas!$A$6:$A$205,MATCH(D$5&amp;"_"&amp;78,Tareas!$N$6:$N$205,0),1)&amp;" · "&amp;INDEX(Tareas!$D$6:$D$205,MATCH(D$5&amp;"_"&amp;78,Tareas!$N$6:$N$205,0),1)&amp;CHAR(10)&amp;INDEX(Tareas!$C$6:$C$205,MATCH(D$5&amp;"_"&amp;78,Tareas!$N$6:$N$205,0),1)&amp;CHAR(10)&amp;INDEX(Tareas!$E$6:$E$205,MATCH(D$5&amp;"_"&amp;78,Tareas!$N$6:$N$205,0),1)&amp;CHAR(10)&amp;INDEX(Tareas!$O$6:$O$205,MATCH(D$5&amp;"_"&amp;78,Tareas!$N$6:$N$205,0),1))</x:f>
      </x:c>
      <x:c r="E83" s="21" t="str">
        <x:f>IF(78&gt;E$4,"",INDEX(Tareas!$A$6:$A$205,MATCH(E$5&amp;"_"&amp;78,Tareas!$N$6:$N$205,0),1)&amp;" · "&amp;INDEX(Tareas!$D$6:$D$205,MATCH(E$5&amp;"_"&amp;78,Tareas!$N$6:$N$205,0),1)&amp;CHAR(10)&amp;INDEX(Tareas!$C$6:$C$205,MATCH(E$5&amp;"_"&amp;78,Tareas!$N$6:$N$205,0),1)&amp;CHAR(10)&amp;INDEX(Tareas!$E$6:$E$205,MATCH(E$5&amp;"_"&amp;78,Tareas!$N$6:$N$205,0),1)&amp;CHAR(10)&amp;INDEX(Tareas!$O$6:$O$205,MATCH(E$5&amp;"_"&amp;78,Tareas!$N$6:$N$205,0),1))</x:f>
      </x:c>
      <x:c r="F83" s="21" t="str">
        <x:f>IF(78&gt;F$4,"",INDEX(Tareas!$A$6:$A$205,MATCH(F$5&amp;"_"&amp;78,Tareas!$N$6:$N$205,0),1)&amp;" · "&amp;INDEX(Tareas!$D$6:$D$205,MATCH(F$5&amp;"_"&amp;78,Tareas!$N$6:$N$205,0),1)&amp;CHAR(10)&amp;INDEX(Tareas!$C$6:$C$205,MATCH(F$5&amp;"_"&amp;78,Tareas!$N$6:$N$205,0),1)&amp;CHAR(10)&amp;INDEX(Tareas!$E$6:$E$205,MATCH(F$5&amp;"_"&amp;78,Tareas!$N$6:$N$205,0),1)&amp;CHAR(10)&amp;INDEX(Tareas!$O$6:$O$205,MATCH(F$5&amp;"_"&amp;78,Tareas!$N$6:$N$205,0),1))</x:f>
      </x:c>
    </x:row>
    <x:row r="84" ht="76" customHeight="1">
      <x:c r="A84" s="21" t="str">
        <x:f>IF(79&gt;A$4,"",INDEX(Tareas!$A$6:$A$205,MATCH(A$5&amp;"_"&amp;79,Tareas!$N$6:$N$205,0),1)&amp;" · "&amp;INDEX(Tareas!$D$6:$D$205,MATCH(A$5&amp;"_"&amp;79,Tareas!$N$6:$N$205,0),1)&amp;CHAR(10)&amp;INDEX(Tareas!$C$6:$C$205,MATCH(A$5&amp;"_"&amp;79,Tareas!$N$6:$N$205,0),1)&amp;CHAR(10)&amp;INDEX(Tareas!$E$6:$E$205,MATCH(A$5&amp;"_"&amp;79,Tareas!$N$6:$N$205,0),1)&amp;CHAR(10)&amp;INDEX(Tareas!$O$6:$O$205,MATCH(A$5&amp;"_"&amp;79,Tareas!$N$6:$N$205,0),1))</x:f>
      </x:c>
      <x:c r="B84" s="21" t="str">
        <x:f>IF(79&gt;B$4,"",INDEX(Tareas!$A$6:$A$205,MATCH(B$5&amp;"_"&amp;79,Tareas!$N$6:$N$205,0),1)&amp;" · "&amp;INDEX(Tareas!$D$6:$D$205,MATCH(B$5&amp;"_"&amp;79,Tareas!$N$6:$N$205,0),1)&amp;CHAR(10)&amp;INDEX(Tareas!$C$6:$C$205,MATCH(B$5&amp;"_"&amp;79,Tareas!$N$6:$N$205,0),1)&amp;CHAR(10)&amp;INDEX(Tareas!$E$6:$E$205,MATCH(B$5&amp;"_"&amp;79,Tareas!$N$6:$N$205,0),1)&amp;CHAR(10)&amp;INDEX(Tareas!$O$6:$O$205,MATCH(B$5&amp;"_"&amp;79,Tareas!$N$6:$N$205,0),1))</x:f>
      </x:c>
      <x:c r="C84" s="21" t="str">
        <x:f>IF(79&gt;C$4,"",INDEX(Tareas!$A$6:$A$205,MATCH(C$5&amp;"_"&amp;79,Tareas!$N$6:$N$205,0),1)&amp;" · "&amp;INDEX(Tareas!$D$6:$D$205,MATCH(C$5&amp;"_"&amp;79,Tareas!$N$6:$N$205,0),1)&amp;CHAR(10)&amp;INDEX(Tareas!$C$6:$C$205,MATCH(C$5&amp;"_"&amp;79,Tareas!$N$6:$N$205,0),1)&amp;CHAR(10)&amp;INDEX(Tareas!$E$6:$E$205,MATCH(C$5&amp;"_"&amp;79,Tareas!$N$6:$N$205,0),1)&amp;CHAR(10)&amp;INDEX(Tareas!$O$6:$O$205,MATCH(C$5&amp;"_"&amp;79,Tareas!$N$6:$N$205,0),1))</x:f>
      </x:c>
      <x:c r="D84" s="21" t="str">
        <x:f>IF(79&gt;D$4,"",INDEX(Tareas!$A$6:$A$205,MATCH(D$5&amp;"_"&amp;79,Tareas!$N$6:$N$205,0),1)&amp;" · "&amp;INDEX(Tareas!$D$6:$D$205,MATCH(D$5&amp;"_"&amp;79,Tareas!$N$6:$N$205,0),1)&amp;CHAR(10)&amp;INDEX(Tareas!$C$6:$C$205,MATCH(D$5&amp;"_"&amp;79,Tareas!$N$6:$N$205,0),1)&amp;CHAR(10)&amp;INDEX(Tareas!$E$6:$E$205,MATCH(D$5&amp;"_"&amp;79,Tareas!$N$6:$N$205,0),1)&amp;CHAR(10)&amp;INDEX(Tareas!$O$6:$O$205,MATCH(D$5&amp;"_"&amp;79,Tareas!$N$6:$N$205,0),1))</x:f>
      </x:c>
      <x:c r="E84" s="21" t="str">
        <x:f>IF(79&gt;E$4,"",INDEX(Tareas!$A$6:$A$205,MATCH(E$5&amp;"_"&amp;79,Tareas!$N$6:$N$205,0),1)&amp;" · "&amp;INDEX(Tareas!$D$6:$D$205,MATCH(E$5&amp;"_"&amp;79,Tareas!$N$6:$N$205,0),1)&amp;CHAR(10)&amp;INDEX(Tareas!$C$6:$C$205,MATCH(E$5&amp;"_"&amp;79,Tareas!$N$6:$N$205,0),1)&amp;CHAR(10)&amp;INDEX(Tareas!$E$6:$E$205,MATCH(E$5&amp;"_"&amp;79,Tareas!$N$6:$N$205,0),1)&amp;CHAR(10)&amp;INDEX(Tareas!$O$6:$O$205,MATCH(E$5&amp;"_"&amp;79,Tareas!$N$6:$N$205,0),1))</x:f>
      </x:c>
      <x:c r="F84" s="21" t="str">
        <x:f>IF(79&gt;F$4,"",INDEX(Tareas!$A$6:$A$205,MATCH(F$5&amp;"_"&amp;79,Tareas!$N$6:$N$205,0),1)&amp;" · "&amp;INDEX(Tareas!$D$6:$D$205,MATCH(F$5&amp;"_"&amp;79,Tareas!$N$6:$N$205,0),1)&amp;CHAR(10)&amp;INDEX(Tareas!$C$6:$C$205,MATCH(F$5&amp;"_"&amp;79,Tareas!$N$6:$N$205,0),1)&amp;CHAR(10)&amp;INDEX(Tareas!$E$6:$E$205,MATCH(F$5&amp;"_"&amp;79,Tareas!$N$6:$N$205,0),1)&amp;CHAR(10)&amp;INDEX(Tareas!$O$6:$O$205,MATCH(F$5&amp;"_"&amp;79,Tareas!$N$6:$N$205,0),1))</x:f>
      </x:c>
    </x:row>
    <x:row r="85" ht="76" customHeight="1">
      <x:c r="A85" s="21" t="str">
        <x:f>IF(80&gt;A$4,"",INDEX(Tareas!$A$6:$A$205,MATCH(A$5&amp;"_"&amp;80,Tareas!$N$6:$N$205,0),1)&amp;" · "&amp;INDEX(Tareas!$D$6:$D$205,MATCH(A$5&amp;"_"&amp;80,Tareas!$N$6:$N$205,0),1)&amp;CHAR(10)&amp;INDEX(Tareas!$C$6:$C$205,MATCH(A$5&amp;"_"&amp;80,Tareas!$N$6:$N$205,0),1)&amp;CHAR(10)&amp;INDEX(Tareas!$E$6:$E$205,MATCH(A$5&amp;"_"&amp;80,Tareas!$N$6:$N$205,0),1)&amp;CHAR(10)&amp;INDEX(Tareas!$O$6:$O$205,MATCH(A$5&amp;"_"&amp;80,Tareas!$N$6:$N$205,0),1))</x:f>
      </x:c>
      <x:c r="B85" s="21" t="str">
        <x:f>IF(80&gt;B$4,"",INDEX(Tareas!$A$6:$A$205,MATCH(B$5&amp;"_"&amp;80,Tareas!$N$6:$N$205,0),1)&amp;" · "&amp;INDEX(Tareas!$D$6:$D$205,MATCH(B$5&amp;"_"&amp;80,Tareas!$N$6:$N$205,0),1)&amp;CHAR(10)&amp;INDEX(Tareas!$C$6:$C$205,MATCH(B$5&amp;"_"&amp;80,Tareas!$N$6:$N$205,0),1)&amp;CHAR(10)&amp;INDEX(Tareas!$E$6:$E$205,MATCH(B$5&amp;"_"&amp;80,Tareas!$N$6:$N$205,0),1)&amp;CHAR(10)&amp;INDEX(Tareas!$O$6:$O$205,MATCH(B$5&amp;"_"&amp;80,Tareas!$N$6:$N$205,0),1))</x:f>
      </x:c>
      <x:c r="C85" s="21" t="str">
        <x:f>IF(80&gt;C$4,"",INDEX(Tareas!$A$6:$A$205,MATCH(C$5&amp;"_"&amp;80,Tareas!$N$6:$N$205,0),1)&amp;" · "&amp;INDEX(Tareas!$D$6:$D$205,MATCH(C$5&amp;"_"&amp;80,Tareas!$N$6:$N$205,0),1)&amp;CHAR(10)&amp;INDEX(Tareas!$C$6:$C$205,MATCH(C$5&amp;"_"&amp;80,Tareas!$N$6:$N$205,0),1)&amp;CHAR(10)&amp;INDEX(Tareas!$E$6:$E$205,MATCH(C$5&amp;"_"&amp;80,Tareas!$N$6:$N$205,0),1)&amp;CHAR(10)&amp;INDEX(Tareas!$O$6:$O$205,MATCH(C$5&amp;"_"&amp;80,Tareas!$N$6:$N$205,0),1))</x:f>
      </x:c>
      <x:c r="D85" s="21" t="str">
        <x:f>IF(80&gt;D$4,"",INDEX(Tareas!$A$6:$A$205,MATCH(D$5&amp;"_"&amp;80,Tareas!$N$6:$N$205,0),1)&amp;" · "&amp;INDEX(Tareas!$D$6:$D$205,MATCH(D$5&amp;"_"&amp;80,Tareas!$N$6:$N$205,0),1)&amp;CHAR(10)&amp;INDEX(Tareas!$C$6:$C$205,MATCH(D$5&amp;"_"&amp;80,Tareas!$N$6:$N$205,0),1)&amp;CHAR(10)&amp;INDEX(Tareas!$E$6:$E$205,MATCH(D$5&amp;"_"&amp;80,Tareas!$N$6:$N$205,0),1)&amp;CHAR(10)&amp;INDEX(Tareas!$O$6:$O$205,MATCH(D$5&amp;"_"&amp;80,Tareas!$N$6:$N$205,0),1))</x:f>
      </x:c>
      <x:c r="E85" s="21" t="str">
        <x:f>IF(80&gt;E$4,"",INDEX(Tareas!$A$6:$A$205,MATCH(E$5&amp;"_"&amp;80,Tareas!$N$6:$N$205,0),1)&amp;" · "&amp;INDEX(Tareas!$D$6:$D$205,MATCH(E$5&amp;"_"&amp;80,Tareas!$N$6:$N$205,0),1)&amp;CHAR(10)&amp;INDEX(Tareas!$C$6:$C$205,MATCH(E$5&amp;"_"&amp;80,Tareas!$N$6:$N$205,0),1)&amp;CHAR(10)&amp;INDEX(Tareas!$E$6:$E$205,MATCH(E$5&amp;"_"&amp;80,Tareas!$N$6:$N$205,0),1)&amp;CHAR(10)&amp;INDEX(Tareas!$O$6:$O$205,MATCH(E$5&amp;"_"&amp;80,Tareas!$N$6:$N$205,0),1))</x:f>
      </x:c>
      <x:c r="F85" s="21" t="str">
        <x:f>IF(80&gt;F$4,"",INDEX(Tareas!$A$6:$A$205,MATCH(F$5&amp;"_"&amp;80,Tareas!$N$6:$N$205,0),1)&amp;" · "&amp;INDEX(Tareas!$D$6:$D$205,MATCH(F$5&amp;"_"&amp;80,Tareas!$N$6:$N$205,0),1)&amp;CHAR(10)&amp;INDEX(Tareas!$C$6:$C$205,MATCH(F$5&amp;"_"&amp;80,Tareas!$N$6:$N$205,0),1)&amp;CHAR(10)&amp;INDEX(Tareas!$E$6:$E$205,MATCH(F$5&amp;"_"&amp;80,Tareas!$N$6:$N$205,0),1)&amp;CHAR(10)&amp;INDEX(Tareas!$O$6:$O$205,MATCH(F$5&amp;"_"&amp;80,Tareas!$N$6:$N$205,0),1))</x:f>
      </x:c>
    </x:row>
    <x:row r="86" ht="76" customHeight="1">
      <x:c r="A86" s="21" t="str">
        <x:f>IF(81&gt;A$4,"",INDEX(Tareas!$A$6:$A$205,MATCH(A$5&amp;"_"&amp;81,Tareas!$N$6:$N$205,0),1)&amp;" · "&amp;INDEX(Tareas!$D$6:$D$205,MATCH(A$5&amp;"_"&amp;81,Tareas!$N$6:$N$205,0),1)&amp;CHAR(10)&amp;INDEX(Tareas!$C$6:$C$205,MATCH(A$5&amp;"_"&amp;81,Tareas!$N$6:$N$205,0),1)&amp;CHAR(10)&amp;INDEX(Tareas!$E$6:$E$205,MATCH(A$5&amp;"_"&amp;81,Tareas!$N$6:$N$205,0),1)&amp;CHAR(10)&amp;INDEX(Tareas!$O$6:$O$205,MATCH(A$5&amp;"_"&amp;81,Tareas!$N$6:$N$205,0),1))</x:f>
      </x:c>
      <x:c r="B86" s="21" t="str">
        <x:f>IF(81&gt;B$4,"",INDEX(Tareas!$A$6:$A$205,MATCH(B$5&amp;"_"&amp;81,Tareas!$N$6:$N$205,0),1)&amp;" · "&amp;INDEX(Tareas!$D$6:$D$205,MATCH(B$5&amp;"_"&amp;81,Tareas!$N$6:$N$205,0),1)&amp;CHAR(10)&amp;INDEX(Tareas!$C$6:$C$205,MATCH(B$5&amp;"_"&amp;81,Tareas!$N$6:$N$205,0),1)&amp;CHAR(10)&amp;INDEX(Tareas!$E$6:$E$205,MATCH(B$5&amp;"_"&amp;81,Tareas!$N$6:$N$205,0),1)&amp;CHAR(10)&amp;INDEX(Tareas!$O$6:$O$205,MATCH(B$5&amp;"_"&amp;81,Tareas!$N$6:$N$205,0),1))</x:f>
      </x:c>
      <x:c r="C86" s="21" t="str">
        <x:f>IF(81&gt;C$4,"",INDEX(Tareas!$A$6:$A$205,MATCH(C$5&amp;"_"&amp;81,Tareas!$N$6:$N$205,0),1)&amp;" · "&amp;INDEX(Tareas!$D$6:$D$205,MATCH(C$5&amp;"_"&amp;81,Tareas!$N$6:$N$205,0),1)&amp;CHAR(10)&amp;INDEX(Tareas!$C$6:$C$205,MATCH(C$5&amp;"_"&amp;81,Tareas!$N$6:$N$205,0),1)&amp;CHAR(10)&amp;INDEX(Tareas!$E$6:$E$205,MATCH(C$5&amp;"_"&amp;81,Tareas!$N$6:$N$205,0),1)&amp;CHAR(10)&amp;INDEX(Tareas!$O$6:$O$205,MATCH(C$5&amp;"_"&amp;81,Tareas!$N$6:$N$205,0),1))</x:f>
      </x:c>
      <x:c r="D86" s="21" t="str">
        <x:f>IF(81&gt;D$4,"",INDEX(Tareas!$A$6:$A$205,MATCH(D$5&amp;"_"&amp;81,Tareas!$N$6:$N$205,0),1)&amp;" · "&amp;INDEX(Tareas!$D$6:$D$205,MATCH(D$5&amp;"_"&amp;81,Tareas!$N$6:$N$205,0),1)&amp;CHAR(10)&amp;INDEX(Tareas!$C$6:$C$205,MATCH(D$5&amp;"_"&amp;81,Tareas!$N$6:$N$205,0),1)&amp;CHAR(10)&amp;INDEX(Tareas!$E$6:$E$205,MATCH(D$5&amp;"_"&amp;81,Tareas!$N$6:$N$205,0),1)&amp;CHAR(10)&amp;INDEX(Tareas!$O$6:$O$205,MATCH(D$5&amp;"_"&amp;81,Tareas!$N$6:$N$205,0),1))</x:f>
      </x:c>
      <x:c r="E86" s="21" t="str">
        <x:f>IF(81&gt;E$4,"",INDEX(Tareas!$A$6:$A$205,MATCH(E$5&amp;"_"&amp;81,Tareas!$N$6:$N$205,0),1)&amp;" · "&amp;INDEX(Tareas!$D$6:$D$205,MATCH(E$5&amp;"_"&amp;81,Tareas!$N$6:$N$205,0),1)&amp;CHAR(10)&amp;INDEX(Tareas!$C$6:$C$205,MATCH(E$5&amp;"_"&amp;81,Tareas!$N$6:$N$205,0),1)&amp;CHAR(10)&amp;INDEX(Tareas!$E$6:$E$205,MATCH(E$5&amp;"_"&amp;81,Tareas!$N$6:$N$205,0),1)&amp;CHAR(10)&amp;INDEX(Tareas!$O$6:$O$205,MATCH(E$5&amp;"_"&amp;81,Tareas!$N$6:$N$205,0),1))</x:f>
      </x:c>
      <x:c r="F86" s="21" t="str">
        <x:f>IF(81&gt;F$4,"",INDEX(Tareas!$A$6:$A$205,MATCH(F$5&amp;"_"&amp;81,Tareas!$N$6:$N$205,0),1)&amp;" · "&amp;INDEX(Tareas!$D$6:$D$205,MATCH(F$5&amp;"_"&amp;81,Tareas!$N$6:$N$205,0),1)&amp;CHAR(10)&amp;INDEX(Tareas!$C$6:$C$205,MATCH(F$5&amp;"_"&amp;81,Tareas!$N$6:$N$205,0),1)&amp;CHAR(10)&amp;INDEX(Tareas!$E$6:$E$205,MATCH(F$5&amp;"_"&amp;81,Tareas!$N$6:$N$205,0),1)&amp;CHAR(10)&amp;INDEX(Tareas!$O$6:$O$205,MATCH(F$5&amp;"_"&amp;81,Tareas!$N$6:$N$205,0),1))</x:f>
      </x:c>
    </x:row>
    <x:row r="87" ht="76" customHeight="1">
      <x:c r="A87" s="21" t="str">
        <x:f>IF(82&gt;A$4,"",INDEX(Tareas!$A$6:$A$205,MATCH(A$5&amp;"_"&amp;82,Tareas!$N$6:$N$205,0),1)&amp;" · "&amp;INDEX(Tareas!$D$6:$D$205,MATCH(A$5&amp;"_"&amp;82,Tareas!$N$6:$N$205,0),1)&amp;CHAR(10)&amp;INDEX(Tareas!$C$6:$C$205,MATCH(A$5&amp;"_"&amp;82,Tareas!$N$6:$N$205,0),1)&amp;CHAR(10)&amp;INDEX(Tareas!$E$6:$E$205,MATCH(A$5&amp;"_"&amp;82,Tareas!$N$6:$N$205,0),1)&amp;CHAR(10)&amp;INDEX(Tareas!$O$6:$O$205,MATCH(A$5&amp;"_"&amp;82,Tareas!$N$6:$N$205,0),1))</x:f>
      </x:c>
      <x:c r="B87" s="21" t="str">
        <x:f>IF(82&gt;B$4,"",INDEX(Tareas!$A$6:$A$205,MATCH(B$5&amp;"_"&amp;82,Tareas!$N$6:$N$205,0),1)&amp;" · "&amp;INDEX(Tareas!$D$6:$D$205,MATCH(B$5&amp;"_"&amp;82,Tareas!$N$6:$N$205,0),1)&amp;CHAR(10)&amp;INDEX(Tareas!$C$6:$C$205,MATCH(B$5&amp;"_"&amp;82,Tareas!$N$6:$N$205,0),1)&amp;CHAR(10)&amp;INDEX(Tareas!$E$6:$E$205,MATCH(B$5&amp;"_"&amp;82,Tareas!$N$6:$N$205,0),1)&amp;CHAR(10)&amp;INDEX(Tareas!$O$6:$O$205,MATCH(B$5&amp;"_"&amp;82,Tareas!$N$6:$N$205,0),1))</x:f>
      </x:c>
      <x:c r="C87" s="21" t="str">
        <x:f>IF(82&gt;C$4,"",INDEX(Tareas!$A$6:$A$205,MATCH(C$5&amp;"_"&amp;82,Tareas!$N$6:$N$205,0),1)&amp;" · "&amp;INDEX(Tareas!$D$6:$D$205,MATCH(C$5&amp;"_"&amp;82,Tareas!$N$6:$N$205,0),1)&amp;CHAR(10)&amp;INDEX(Tareas!$C$6:$C$205,MATCH(C$5&amp;"_"&amp;82,Tareas!$N$6:$N$205,0),1)&amp;CHAR(10)&amp;INDEX(Tareas!$E$6:$E$205,MATCH(C$5&amp;"_"&amp;82,Tareas!$N$6:$N$205,0),1)&amp;CHAR(10)&amp;INDEX(Tareas!$O$6:$O$205,MATCH(C$5&amp;"_"&amp;82,Tareas!$N$6:$N$205,0),1))</x:f>
      </x:c>
      <x:c r="D87" s="21" t="str">
        <x:f>IF(82&gt;D$4,"",INDEX(Tareas!$A$6:$A$205,MATCH(D$5&amp;"_"&amp;82,Tareas!$N$6:$N$205,0),1)&amp;" · "&amp;INDEX(Tareas!$D$6:$D$205,MATCH(D$5&amp;"_"&amp;82,Tareas!$N$6:$N$205,0),1)&amp;CHAR(10)&amp;INDEX(Tareas!$C$6:$C$205,MATCH(D$5&amp;"_"&amp;82,Tareas!$N$6:$N$205,0),1)&amp;CHAR(10)&amp;INDEX(Tareas!$E$6:$E$205,MATCH(D$5&amp;"_"&amp;82,Tareas!$N$6:$N$205,0),1)&amp;CHAR(10)&amp;INDEX(Tareas!$O$6:$O$205,MATCH(D$5&amp;"_"&amp;82,Tareas!$N$6:$N$205,0),1))</x:f>
      </x:c>
      <x:c r="E87" s="21" t="str">
        <x:f>IF(82&gt;E$4,"",INDEX(Tareas!$A$6:$A$205,MATCH(E$5&amp;"_"&amp;82,Tareas!$N$6:$N$205,0),1)&amp;" · "&amp;INDEX(Tareas!$D$6:$D$205,MATCH(E$5&amp;"_"&amp;82,Tareas!$N$6:$N$205,0),1)&amp;CHAR(10)&amp;INDEX(Tareas!$C$6:$C$205,MATCH(E$5&amp;"_"&amp;82,Tareas!$N$6:$N$205,0),1)&amp;CHAR(10)&amp;INDEX(Tareas!$E$6:$E$205,MATCH(E$5&amp;"_"&amp;82,Tareas!$N$6:$N$205,0),1)&amp;CHAR(10)&amp;INDEX(Tareas!$O$6:$O$205,MATCH(E$5&amp;"_"&amp;82,Tareas!$N$6:$N$205,0),1))</x:f>
      </x:c>
      <x:c r="F87" s="21" t="str">
        <x:f>IF(82&gt;F$4,"",INDEX(Tareas!$A$6:$A$205,MATCH(F$5&amp;"_"&amp;82,Tareas!$N$6:$N$205,0),1)&amp;" · "&amp;INDEX(Tareas!$D$6:$D$205,MATCH(F$5&amp;"_"&amp;82,Tareas!$N$6:$N$205,0),1)&amp;CHAR(10)&amp;INDEX(Tareas!$C$6:$C$205,MATCH(F$5&amp;"_"&amp;82,Tareas!$N$6:$N$205,0),1)&amp;CHAR(10)&amp;INDEX(Tareas!$E$6:$E$205,MATCH(F$5&amp;"_"&amp;82,Tareas!$N$6:$N$205,0),1)&amp;CHAR(10)&amp;INDEX(Tareas!$O$6:$O$205,MATCH(F$5&amp;"_"&amp;82,Tareas!$N$6:$N$205,0),1))</x:f>
      </x:c>
    </x:row>
    <x:row r="88" ht="76" customHeight="1">
      <x:c r="A88" s="21" t="str">
        <x:f>IF(83&gt;A$4,"",INDEX(Tareas!$A$6:$A$205,MATCH(A$5&amp;"_"&amp;83,Tareas!$N$6:$N$205,0),1)&amp;" · "&amp;INDEX(Tareas!$D$6:$D$205,MATCH(A$5&amp;"_"&amp;83,Tareas!$N$6:$N$205,0),1)&amp;CHAR(10)&amp;INDEX(Tareas!$C$6:$C$205,MATCH(A$5&amp;"_"&amp;83,Tareas!$N$6:$N$205,0),1)&amp;CHAR(10)&amp;INDEX(Tareas!$E$6:$E$205,MATCH(A$5&amp;"_"&amp;83,Tareas!$N$6:$N$205,0),1)&amp;CHAR(10)&amp;INDEX(Tareas!$O$6:$O$205,MATCH(A$5&amp;"_"&amp;83,Tareas!$N$6:$N$205,0),1))</x:f>
      </x:c>
      <x:c r="B88" s="21" t="str">
        <x:f>IF(83&gt;B$4,"",INDEX(Tareas!$A$6:$A$205,MATCH(B$5&amp;"_"&amp;83,Tareas!$N$6:$N$205,0),1)&amp;" · "&amp;INDEX(Tareas!$D$6:$D$205,MATCH(B$5&amp;"_"&amp;83,Tareas!$N$6:$N$205,0),1)&amp;CHAR(10)&amp;INDEX(Tareas!$C$6:$C$205,MATCH(B$5&amp;"_"&amp;83,Tareas!$N$6:$N$205,0),1)&amp;CHAR(10)&amp;INDEX(Tareas!$E$6:$E$205,MATCH(B$5&amp;"_"&amp;83,Tareas!$N$6:$N$205,0),1)&amp;CHAR(10)&amp;INDEX(Tareas!$O$6:$O$205,MATCH(B$5&amp;"_"&amp;83,Tareas!$N$6:$N$205,0),1))</x:f>
      </x:c>
      <x:c r="C88" s="21" t="str">
        <x:f>IF(83&gt;C$4,"",INDEX(Tareas!$A$6:$A$205,MATCH(C$5&amp;"_"&amp;83,Tareas!$N$6:$N$205,0),1)&amp;" · "&amp;INDEX(Tareas!$D$6:$D$205,MATCH(C$5&amp;"_"&amp;83,Tareas!$N$6:$N$205,0),1)&amp;CHAR(10)&amp;INDEX(Tareas!$C$6:$C$205,MATCH(C$5&amp;"_"&amp;83,Tareas!$N$6:$N$205,0),1)&amp;CHAR(10)&amp;INDEX(Tareas!$E$6:$E$205,MATCH(C$5&amp;"_"&amp;83,Tareas!$N$6:$N$205,0),1)&amp;CHAR(10)&amp;INDEX(Tareas!$O$6:$O$205,MATCH(C$5&amp;"_"&amp;83,Tareas!$N$6:$N$205,0),1))</x:f>
      </x:c>
      <x:c r="D88" s="21" t="str">
        <x:f>IF(83&gt;D$4,"",INDEX(Tareas!$A$6:$A$205,MATCH(D$5&amp;"_"&amp;83,Tareas!$N$6:$N$205,0),1)&amp;" · "&amp;INDEX(Tareas!$D$6:$D$205,MATCH(D$5&amp;"_"&amp;83,Tareas!$N$6:$N$205,0),1)&amp;CHAR(10)&amp;INDEX(Tareas!$C$6:$C$205,MATCH(D$5&amp;"_"&amp;83,Tareas!$N$6:$N$205,0),1)&amp;CHAR(10)&amp;INDEX(Tareas!$E$6:$E$205,MATCH(D$5&amp;"_"&amp;83,Tareas!$N$6:$N$205,0),1)&amp;CHAR(10)&amp;INDEX(Tareas!$O$6:$O$205,MATCH(D$5&amp;"_"&amp;83,Tareas!$N$6:$N$205,0),1))</x:f>
      </x:c>
      <x:c r="E88" s="21" t="str">
        <x:f>IF(83&gt;E$4,"",INDEX(Tareas!$A$6:$A$205,MATCH(E$5&amp;"_"&amp;83,Tareas!$N$6:$N$205,0),1)&amp;" · "&amp;INDEX(Tareas!$D$6:$D$205,MATCH(E$5&amp;"_"&amp;83,Tareas!$N$6:$N$205,0),1)&amp;CHAR(10)&amp;INDEX(Tareas!$C$6:$C$205,MATCH(E$5&amp;"_"&amp;83,Tareas!$N$6:$N$205,0),1)&amp;CHAR(10)&amp;INDEX(Tareas!$E$6:$E$205,MATCH(E$5&amp;"_"&amp;83,Tareas!$N$6:$N$205,0),1)&amp;CHAR(10)&amp;INDEX(Tareas!$O$6:$O$205,MATCH(E$5&amp;"_"&amp;83,Tareas!$N$6:$N$205,0),1))</x:f>
      </x:c>
      <x:c r="F88" s="21" t="str">
        <x:f>IF(83&gt;F$4,"",INDEX(Tareas!$A$6:$A$205,MATCH(F$5&amp;"_"&amp;83,Tareas!$N$6:$N$205,0),1)&amp;" · "&amp;INDEX(Tareas!$D$6:$D$205,MATCH(F$5&amp;"_"&amp;83,Tareas!$N$6:$N$205,0),1)&amp;CHAR(10)&amp;INDEX(Tareas!$C$6:$C$205,MATCH(F$5&amp;"_"&amp;83,Tareas!$N$6:$N$205,0),1)&amp;CHAR(10)&amp;INDEX(Tareas!$E$6:$E$205,MATCH(F$5&amp;"_"&amp;83,Tareas!$N$6:$N$205,0),1)&amp;CHAR(10)&amp;INDEX(Tareas!$O$6:$O$205,MATCH(F$5&amp;"_"&amp;83,Tareas!$N$6:$N$205,0),1))</x:f>
      </x:c>
    </x:row>
    <x:row r="89" ht="76" customHeight="1">
      <x:c r="A89" s="21" t="str">
        <x:f>IF(84&gt;A$4,"",INDEX(Tareas!$A$6:$A$205,MATCH(A$5&amp;"_"&amp;84,Tareas!$N$6:$N$205,0),1)&amp;" · "&amp;INDEX(Tareas!$D$6:$D$205,MATCH(A$5&amp;"_"&amp;84,Tareas!$N$6:$N$205,0),1)&amp;CHAR(10)&amp;INDEX(Tareas!$C$6:$C$205,MATCH(A$5&amp;"_"&amp;84,Tareas!$N$6:$N$205,0),1)&amp;CHAR(10)&amp;INDEX(Tareas!$E$6:$E$205,MATCH(A$5&amp;"_"&amp;84,Tareas!$N$6:$N$205,0),1)&amp;CHAR(10)&amp;INDEX(Tareas!$O$6:$O$205,MATCH(A$5&amp;"_"&amp;84,Tareas!$N$6:$N$205,0),1))</x:f>
      </x:c>
      <x:c r="B89" s="21" t="str">
        <x:f>IF(84&gt;B$4,"",INDEX(Tareas!$A$6:$A$205,MATCH(B$5&amp;"_"&amp;84,Tareas!$N$6:$N$205,0),1)&amp;" · "&amp;INDEX(Tareas!$D$6:$D$205,MATCH(B$5&amp;"_"&amp;84,Tareas!$N$6:$N$205,0),1)&amp;CHAR(10)&amp;INDEX(Tareas!$C$6:$C$205,MATCH(B$5&amp;"_"&amp;84,Tareas!$N$6:$N$205,0),1)&amp;CHAR(10)&amp;INDEX(Tareas!$E$6:$E$205,MATCH(B$5&amp;"_"&amp;84,Tareas!$N$6:$N$205,0),1)&amp;CHAR(10)&amp;INDEX(Tareas!$O$6:$O$205,MATCH(B$5&amp;"_"&amp;84,Tareas!$N$6:$N$205,0),1))</x:f>
      </x:c>
      <x:c r="C89" s="21" t="str">
        <x:f>IF(84&gt;C$4,"",INDEX(Tareas!$A$6:$A$205,MATCH(C$5&amp;"_"&amp;84,Tareas!$N$6:$N$205,0),1)&amp;" · "&amp;INDEX(Tareas!$D$6:$D$205,MATCH(C$5&amp;"_"&amp;84,Tareas!$N$6:$N$205,0),1)&amp;CHAR(10)&amp;INDEX(Tareas!$C$6:$C$205,MATCH(C$5&amp;"_"&amp;84,Tareas!$N$6:$N$205,0),1)&amp;CHAR(10)&amp;INDEX(Tareas!$E$6:$E$205,MATCH(C$5&amp;"_"&amp;84,Tareas!$N$6:$N$205,0),1)&amp;CHAR(10)&amp;INDEX(Tareas!$O$6:$O$205,MATCH(C$5&amp;"_"&amp;84,Tareas!$N$6:$N$205,0),1))</x:f>
      </x:c>
      <x:c r="D89" s="21" t="str">
        <x:f>IF(84&gt;D$4,"",INDEX(Tareas!$A$6:$A$205,MATCH(D$5&amp;"_"&amp;84,Tareas!$N$6:$N$205,0),1)&amp;" · "&amp;INDEX(Tareas!$D$6:$D$205,MATCH(D$5&amp;"_"&amp;84,Tareas!$N$6:$N$205,0),1)&amp;CHAR(10)&amp;INDEX(Tareas!$C$6:$C$205,MATCH(D$5&amp;"_"&amp;84,Tareas!$N$6:$N$205,0),1)&amp;CHAR(10)&amp;INDEX(Tareas!$E$6:$E$205,MATCH(D$5&amp;"_"&amp;84,Tareas!$N$6:$N$205,0),1)&amp;CHAR(10)&amp;INDEX(Tareas!$O$6:$O$205,MATCH(D$5&amp;"_"&amp;84,Tareas!$N$6:$N$205,0),1))</x:f>
      </x:c>
      <x:c r="E89" s="21" t="str">
        <x:f>IF(84&gt;E$4,"",INDEX(Tareas!$A$6:$A$205,MATCH(E$5&amp;"_"&amp;84,Tareas!$N$6:$N$205,0),1)&amp;" · "&amp;INDEX(Tareas!$D$6:$D$205,MATCH(E$5&amp;"_"&amp;84,Tareas!$N$6:$N$205,0),1)&amp;CHAR(10)&amp;INDEX(Tareas!$C$6:$C$205,MATCH(E$5&amp;"_"&amp;84,Tareas!$N$6:$N$205,0),1)&amp;CHAR(10)&amp;INDEX(Tareas!$E$6:$E$205,MATCH(E$5&amp;"_"&amp;84,Tareas!$N$6:$N$205,0),1)&amp;CHAR(10)&amp;INDEX(Tareas!$O$6:$O$205,MATCH(E$5&amp;"_"&amp;84,Tareas!$N$6:$N$205,0),1))</x:f>
      </x:c>
      <x:c r="F89" s="21" t="str">
        <x:f>IF(84&gt;F$4,"",INDEX(Tareas!$A$6:$A$205,MATCH(F$5&amp;"_"&amp;84,Tareas!$N$6:$N$205,0),1)&amp;" · "&amp;INDEX(Tareas!$D$6:$D$205,MATCH(F$5&amp;"_"&amp;84,Tareas!$N$6:$N$205,0),1)&amp;CHAR(10)&amp;INDEX(Tareas!$C$6:$C$205,MATCH(F$5&amp;"_"&amp;84,Tareas!$N$6:$N$205,0),1)&amp;CHAR(10)&amp;INDEX(Tareas!$E$6:$E$205,MATCH(F$5&amp;"_"&amp;84,Tareas!$N$6:$N$205,0),1)&amp;CHAR(10)&amp;INDEX(Tareas!$O$6:$O$205,MATCH(F$5&amp;"_"&amp;84,Tareas!$N$6:$N$205,0),1))</x:f>
      </x:c>
    </x:row>
    <x:row r="90" ht="76" customHeight="1">
      <x:c r="A90" s="21" t="str">
        <x:f>IF(85&gt;A$4,"",INDEX(Tareas!$A$6:$A$205,MATCH(A$5&amp;"_"&amp;85,Tareas!$N$6:$N$205,0),1)&amp;" · "&amp;INDEX(Tareas!$D$6:$D$205,MATCH(A$5&amp;"_"&amp;85,Tareas!$N$6:$N$205,0),1)&amp;CHAR(10)&amp;INDEX(Tareas!$C$6:$C$205,MATCH(A$5&amp;"_"&amp;85,Tareas!$N$6:$N$205,0),1)&amp;CHAR(10)&amp;INDEX(Tareas!$E$6:$E$205,MATCH(A$5&amp;"_"&amp;85,Tareas!$N$6:$N$205,0),1)&amp;CHAR(10)&amp;INDEX(Tareas!$O$6:$O$205,MATCH(A$5&amp;"_"&amp;85,Tareas!$N$6:$N$205,0),1))</x:f>
      </x:c>
      <x:c r="B90" s="21" t="str">
        <x:f>IF(85&gt;B$4,"",INDEX(Tareas!$A$6:$A$205,MATCH(B$5&amp;"_"&amp;85,Tareas!$N$6:$N$205,0),1)&amp;" · "&amp;INDEX(Tareas!$D$6:$D$205,MATCH(B$5&amp;"_"&amp;85,Tareas!$N$6:$N$205,0),1)&amp;CHAR(10)&amp;INDEX(Tareas!$C$6:$C$205,MATCH(B$5&amp;"_"&amp;85,Tareas!$N$6:$N$205,0),1)&amp;CHAR(10)&amp;INDEX(Tareas!$E$6:$E$205,MATCH(B$5&amp;"_"&amp;85,Tareas!$N$6:$N$205,0),1)&amp;CHAR(10)&amp;INDEX(Tareas!$O$6:$O$205,MATCH(B$5&amp;"_"&amp;85,Tareas!$N$6:$N$205,0),1))</x:f>
      </x:c>
      <x:c r="C90" s="21" t="str">
        <x:f>IF(85&gt;C$4,"",INDEX(Tareas!$A$6:$A$205,MATCH(C$5&amp;"_"&amp;85,Tareas!$N$6:$N$205,0),1)&amp;" · "&amp;INDEX(Tareas!$D$6:$D$205,MATCH(C$5&amp;"_"&amp;85,Tareas!$N$6:$N$205,0),1)&amp;CHAR(10)&amp;INDEX(Tareas!$C$6:$C$205,MATCH(C$5&amp;"_"&amp;85,Tareas!$N$6:$N$205,0),1)&amp;CHAR(10)&amp;INDEX(Tareas!$E$6:$E$205,MATCH(C$5&amp;"_"&amp;85,Tareas!$N$6:$N$205,0),1)&amp;CHAR(10)&amp;INDEX(Tareas!$O$6:$O$205,MATCH(C$5&amp;"_"&amp;85,Tareas!$N$6:$N$205,0),1))</x:f>
      </x:c>
      <x:c r="D90" s="21" t="str">
        <x:f>IF(85&gt;D$4,"",INDEX(Tareas!$A$6:$A$205,MATCH(D$5&amp;"_"&amp;85,Tareas!$N$6:$N$205,0),1)&amp;" · "&amp;INDEX(Tareas!$D$6:$D$205,MATCH(D$5&amp;"_"&amp;85,Tareas!$N$6:$N$205,0),1)&amp;CHAR(10)&amp;INDEX(Tareas!$C$6:$C$205,MATCH(D$5&amp;"_"&amp;85,Tareas!$N$6:$N$205,0),1)&amp;CHAR(10)&amp;INDEX(Tareas!$E$6:$E$205,MATCH(D$5&amp;"_"&amp;85,Tareas!$N$6:$N$205,0),1)&amp;CHAR(10)&amp;INDEX(Tareas!$O$6:$O$205,MATCH(D$5&amp;"_"&amp;85,Tareas!$N$6:$N$205,0),1))</x:f>
      </x:c>
      <x:c r="E90" s="21" t="str">
        <x:f>IF(85&gt;E$4,"",INDEX(Tareas!$A$6:$A$205,MATCH(E$5&amp;"_"&amp;85,Tareas!$N$6:$N$205,0),1)&amp;" · "&amp;INDEX(Tareas!$D$6:$D$205,MATCH(E$5&amp;"_"&amp;85,Tareas!$N$6:$N$205,0),1)&amp;CHAR(10)&amp;INDEX(Tareas!$C$6:$C$205,MATCH(E$5&amp;"_"&amp;85,Tareas!$N$6:$N$205,0),1)&amp;CHAR(10)&amp;INDEX(Tareas!$E$6:$E$205,MATCH(E$5&amp;"_"&amp;85,Tareas!$N$6:$N$205,0),1)&amp;CHAR(10)&amp;INDEX(Tareas!$O$6:$O$205,MATCH(E$5&amp;"_"&amp;85,Tareas!$N$6:$N$205,0),1))</x:f>
      </x:c>
      <x:c r="F90" s="21" t="str">
        <x:f>IF(85&gt;F$4,"",INDEX(Tareas!$A$6:$A$205,MATCH(F$5&amp;"_"&amp;85,Tareas!$N$6:$N$205,0),1)&amp;" · "&amp;INDEX(Tareas!$D$6:$D$205,MATCH(F$5&amp;"_"&amp;85,Tareas!$N$6:$N$205,0),1)&amp;CHAR(10)&amp;INDEX(Tareas!$C$6:$C$205,MATCH(F$5&amp;"_"&amp;85,Tareas!$N$6:$N$205,0),1)&amp;CHAR(10)&amp;INDEX(Tareas!$E$6:$E$205,MATCH(F$5&amp;"_"&amp;85,Tareas!$N$6:$N$205,0),1)&amp;CHAR(10)&amp;INDEX(Tareas!$O$6:$O$205,MATCH(F$5&amp;"_"&amp;85,Tareas!$N$6:$N$205,0),1))</x:f>
      </x:c>
    </x:row>
    <x:row r="91" ht="76" customHeight="1">
      <x:c r="A91" s="21" t="str">
        <x:f>IF(86&gt;A$4,"",INDEX(Tareas!$A$6:$A$205,MATCH(A$5&amp;"_"&amp;86,Tareas!$N$6:$N$205,0),1)&amp;" · "&amp;INDEX(Tareas!$D$6:$D$205,MATCH(A$5&amp;"_"&amp;86,Tareas!$N$6:$N$205,0),1)&amp;CHAR(10)&amp;INDEX(Tareas!$C$6:$C$205,MATCH(A$5&amp;"_"&amp;86,Tareas!$N$6:$N$205,0),1)&amp;CHAR(10)&amp;INDEX(Tareas!$E$6:$E$205,MATCH(A$5&amp;"_"&amp;86,Tareas!$N$6:$N$205,0),1)&amp;CHAR(10)&amp;INDEX(Tareas!$O$6:$O$205,MATCH(A$5&amp;"_"&amp;86,Tareas!$N$6:$N$205,0),1))</x:f>
      </x:c>
      <x:c r="B91" s="21" t="str">
        <x:f>IF(86&gt;B$4,"",INDEX(Tareas!$A$6:$A$205,MATCH(B$5&amp;"_"&amp;86,Tareas!$N$6:$N$205,0),1)&amp;" · "&amp;INDEX(Tareas!$D$6:$D$205,MATCH(B$5&amp;"_"&amp;86,Tareas!$N$6:$N$205,0),1)&amp;CHAR(10)&amp;INDEX(Tareas!$C$6:$C$205,MATCH(B$5&amp;"_"&amp;86,Tareas!$N$6:$N$205,0),1)&amp;CHAR(10)&amp;INDEX(Tareas!$E$6:$E$205,MATCH(B$5&amp;"_"&amp;86,Tareas!$N$6:$N$205,0),1)&amp;CHAR(10)&amp;INDEX(Tareas!$O$6:$O$205,MATCH(B$5&amp;"_"&amp;86,Tareas!$N$6:$N$205,0),1))</x:f>
      </x:c>
      <x:c r="C91" s="21" t="str">
        <x:f>IF(86&gt;C$4,"",INDEX(Tareas!$A$6:$A$205,MATCH(C$5&amp;"_"&amp;86,Tareas!$N$6:$N$205,0),1)&amp;" · "&amp;INDEX(Tareas!$D$6:$D$205,MATCH(C$5&amp;"_"&amp;86,Tareas!$N$6:$N$205,0),1)&amp;CHAR(10)&amp;INDEX(Tareas!$C$6:$C$205,MATCH(C$5&amp;"_"&amp;86,Tareas!$N$6:$N$205,0),1)&amp;CHAR(10)&amp;INDEX(Tareas!$E$6:$E$205,MATCH(C$5&amp;"_"&amp;86,Tareas!$N$6:$N$205,0),1)&amp;CHAR(10)&amp;INDEX(Tareas!$O$6:$O$205,MATCH(C$5&amp;"_"&amp;86,Tareas!$N$6:$N$205,0),1))</x:f>
      </x:c>
      <x:c r="D91" s="21" t="str">
        <x:f>IF(86&gt;D$4,"",INDEX(Tareas!$A$6:$A$205,MATCH(D$5&amp;"_"&amp;86,Tareas!$N$6:$N$205,0),1)&amp;" · "&amp;INDEX(Tareas!$D$6:$D$205,MATCH(D$5&amp;"_"&amp;86,Tareas!$N$6:$N$205,0),1)&amp;CHAR(10)&amp;INDEX(Tareas!$C$6:$C$205,MATCH(D$5&amp;"_"&amp;86,Tareas!$N$6:$N$205,0),1)&amp;CHAR(10)&amp;INDEX(Tareas!$E$6:$E$205,MATCH(D$5&amp;"_"&amp;86,Tareas!$N$6:$N$205,0),1)&amp;CHAR(10)&amp;INDEX(Tareas!$O$6:$O$205,MATCH(D$5&amp;"_"&amp;86,Tareas!$N$6:$N$205,0),1))</x:f>
      </x:c>
      <x:c r="E91" s="21" t="str">
        <x:f>IF(86&gt;E$4,"",INDEX(Tareas!$A$6:$A$205,MATCH(E$5&amp;"_"&amp;86,Tareas!$N$6:$N$205,0),1)&amp;" · "&amp;INDEX(Tareas!$D$6:$D$205,MATCH(E$5&amp;"_"&amp;86,Tareas!$N$6:$N$205,0),1)&amp;CHAR(10)&amp;INDEX(Tareas!$C$6:$C$205,MATCH(E$5&amp;"_"&amp;86,Tareas!$N$6:$N$205,0),1)&amp;CHAR(10)&amp;INDEX(Tareas!$E$6:$E$205,MATCH(E$5&amp;"_"&amp;86,Tareas!$N$6:$N$205,0),1)&amp;CHAR(10)&amp;INDEX(Tareas!$O$6:$O$205,MATCH(E$5&amp;"_"&amp;86,Tareas!$N$6:$N$205,0),1))</x:f>
      </x:c>
      <x:c r="F91" s="21" t="str">
        <x:f>IF(86&gt;F$4,"",INDEX(Tareas!$A$6:$A$205,MATCH(F$5&amp;"_"&amp;86,Tareas!$N$6:$N$205,0),1)&amp;" · "&amp;INDEX(Tareas!$D$6:$D$205,MATCH(F$5&amp;"_"&amp;86,Tareas!$N$6:$N$205,0),1)&amp;CHAR(10)&amp;INDEX(Tareas!$C$6:$C$205,MATCH(F$5&amp;"_"&amp;86,Tareas!$N$6:$N$205,0),1)&amp;CHAR(10)&amp;INDEX(Tareas!$E$6:$E$205,MATCH(F$5&amp;"_"&amp;86,Tareas!$N$6:$N$205,0),1)&amp;CHAR(10)&amp;INDEX(Tareas!$O$6:$O$205,MATCH(F$5&amp;"_"&amp;86,Tareas!$N$6:$N$205,0),1))</x:f>
      </x:c>
    </x:row>
    <x:row r="92" ht="76" customHeight="1">
      <x:c r="A92" s="21" t="str">
        <x:f>IF(87&gt;A$4,"",INDEX(Tareas!$A$6:$A$205,MATCH(A$5&amp;"_"&amp;87,Tareas!$N$6:$N$205,0),1)&amp;" · "&amp;INDEX(Tareas!$D$6:$D$205,MATCH(A$5&amp;"_"&amp;87,Tareas!$N$6:$N$205,0),1)&amp;CHAR(10)&amp;INDEX(Tareas!$C$6:$C$205,MATCH(A$5&amp;"_"&amp;87,Tareas!$N$6:$N$205,0),1)&amp;CHAR(10)&amp;INDEX(Tareas!$E$6:$E$205,MATCH(A$5&amp;"_"&amp;87,Tareas!$N$6:$N$205,0),1)&amp;CHAR(10)&amp;INDEX(Tareas!$O$6:$O$205,MATCH(A$5&amp;"_"&amp;87,Tareas!$N$6:$N$205,0),1))</x:f>
      </x:c>
      <x:c r="B92" s="21" t="str">
        <x:f>IF(87&gt;B$4,"",INDEX(Tareas!$A$6:$A$205,MATCH(B$5&amp;"_"&amp;87,Tareas!$N$6:$N$205,0),1)&amp;" · "&amp;INDEX(Tareas!$D$6:$D$205,MATCH(B$5&amp;"_"&amp;87,Tareas!$N$6:$N$205,0),1)&amp;CHAR(10)&amp;INDEX(Tareas!$C$6:$C$205,MATCH(B$5&amp;"_"&amp;87,Tareas!$N$6:$N$205,0),1)&amp;CHAR(10)&amp;INDEX(Tareas!$E$6:$E$205,MATCH(B$5&amp;"_"&amp;87,Tareas!$N$6:$N$205,0),1)&amp;CHAR(10)&amp;INDEX(Tareas!$O$6:$O$205,MATCH(B$5&amp;"_"&amp;87,Tareas!$N$6:$N$205,0),1))</x:f>
      </x:c>
      <x:c r="C92" s="21" t="str">
        <x:f>IF(87&gt;C$4,"",INDEX(Tareas!$A$6:$A$205,MATCH(C$5&amp;"_"&amp;87,Tareas!$N$6:$N$205,0),1)&amp;" · "&amp;INDEX(Tareas!$D$6:$D$205,MATCH(C$5&amp;"_"&amp;87,Tareas!$N$6:$N$205,0),1)&amp;CHAR(10)&amp;INDEX(Tareas!$C$6:$C$205,MATCH(C$5&amp;"_"&amp;87,Tareas!$N$6:$N$205,0),1)&amp;CHAR(10)&amp;INDEX(Tareas!$E$6:$E$205,MATCH(C$5&amp;"_"&amp;87,Tareas!$N$6:$N$205,0),1)&amp;CHAR(10)&amp;INDEX(Tareas!$O$6:$O$205,MATCH(C$5&amp;"_"&amp;87,Tareas!$N$6:$N$205,0),1))</x:f>
      </x:c>
      <x:c r="D92" s="21" t="str">
        <x:f>IF(87&gt;D$4,"",INDEX(Tareas!$A$6:$A$205,MATCH(D$5&amp;"_"&amp;87,Tareas!$N$6:$N$205,0),1)&amp;" · "&amp;INDEX(Tareas!$D$6:$D$205,MATCH(D$5&amp;"_"&amp;87,Tareas!$N$6:$N$205,0),1)&amp;CHAR(10)&amp;INDEX(Tareas!$C$6:$C$205,MATCH(D$5&amp;"_"&amp;87,Tareas!$N$6:$N$205,0),1)&amp;CHAR(10)&amp;INDEX(Tareas!$E$6:$E$205,MATCH(D$5&amp;"_"&amp;87,Tareas!$N$6:$N$205,0),1)&amp;CHAR(10)&amp;INDEX(Tareas!$O$6:$O$205,MATCH(D$5&amp;"_"&amp;87,Tareas!$N$6:$N$205,0),1))</x:f>
      </x:c>
      <x:c r="E92" s="21" t="str">
        <x:f>IF(87&gt;E$4,"",INDEX(Tareas!$A$6:$A$205,MATCH(E$5&amp;"_"&amp;87,Tareas!$N$6:$N$205,0),1)&amp;" · "&amp;INDEX(Tareas!$D$6:$D$205,MATCH(E$5&amp;"_"&amp;87,Tareas!$N$6:$N$205,0),1)&amp;CHAR(10)&amp;INDEX(Tareas!$C$6:$C$205,MATCH(E$5&amp;"_"&amp;87,Tareas!$N$6:$N$205,0),1)&amp;CHAR(10)&amp;INDEX(Tareas!$E$6:$E$205,MATCH(E$5&amp;"_"&amp;87,Tareas!$N$6:$N$205,0),1)&amp;CHAR(10)&amp;INDEX(Tareas!$O$6:$O$205,MATCH(E$5&amp;"_"&amp;87,Tareas!$N$6:$N$205,0),1))</x:f>
      </x:c>
      <x:c r="F92" s="21" t="str">
        <x:f>IF(87&gt;F$4,"",INDEX(Tareas!$A$6:$A$205,MATCH(F$5&amp;"_"&amp;87,Tareas!$N$6:$N$205,0),1)&amp;" · "&amp;INDEX(Tareas!$D$6:$D$205,MATCH(F$5&amp;"_"&amp;87,Tareas!$N$6:$N$205,0),1)&amp;CHAR(10)&amp;INDEX(Tareas!$C$6:$C$205,MATCH(F$5&amp;"_"&amp;87,Tareas!$N$6:$N$205,0),1)&amp;CHAR(10)&amp;INDEX(Tareas!$E$6:$E$205,MATCH(F$5&amp;"_"&amp;87,Tareas!$N$6:$N$205,0),1)&amp;CHAR(10)&amp;INDEX(Tareas!$O$6:$O$205,MATCH(F$5&amp;"_"&amp;87,Tareas!$N$6:$N$205,0),1))</x:f>
      </x:c>
    </x:row>
    <x:row r="93" ht="76" customHeight="1">
      <x:c r="A93" s="21" t="str">
        <x:f>IF(88&gt;A$4,"",INDEX(Tareas!$A$6:$A$205,MATCH(A$5&amp;"_"&amp;88,Tareas!$N$6:$N$205,0),1)&amp;" · "&amp;INDEX(Tareas!$D$6:$D$205,MATCH(A$5&amp;"_"&amp;88,Tareas!$N$6:$N$205,0),1)&amp;CHAR(10)&amp;INDEX(Tareas!$C$6:$C$205,MATCH(A$5&amp;"_"&amp;88,Tareas!$N$6:$N$205,0),1)&amp;CHAR(10)&amp;INDEX(Tareas!$E$6:$E$205,MATCH(A$5&amp;"_"&amp;88,Tareas!$N$6:$N$205,0),1)&amp;CHAR(10)&amp;INDEX(Tareas!$O$6:$O$205,MATCH(A$5&amp;"_"&amp;88,Tareas!$N$6:$N$205,0),1))</x:f>
      </x:c>
      <x:c r="B93" s="21" t="str">
        <x:f>IF(88&gt;B$4,"",INDEX(Tareas!$A$6:$A$205,MATCH(B$5&amp;"_"&amp;88,Tareas!$N$6:$N$205,0),1)&amp;" · "&amp;INDEX(Tareas!$D$6:$D$205,MATCH(B$5&amp;"_"&amp;88,Tareas!$N$6:$N$205,0),1)&amp;CHAR(10)&amp;INDEX(Tareas!$C$6:$C$205,MATCH(B$5&amp;"_"&amp;88,Tareas!$N$6:$N$205,0),1)&amp;CHAR(10)&amp;INDEX(Tareas!$E$6:$E$205,MATCH(B$5&amp;"_"&amp;88,Tareas!$N$6:$N$205,0),1)&amp;CHAR(10)&amp;INDEX(Tareas!$O$6:$O$205,MATCH(B$5&amp;"_"&amp;88,Tareas!$N$6:$N$205,0),1))</x:f>
      </x:c>
      <x:c r="C93" s="21" t="str">
        <x:f>IF(88&gt;C$4,"",INDEX(Tareas!$A$6:$A$205,MATCH(C$5&amp;"_"&amp;88,Tareas!$N$6:$N$205,0),1)&amp;" · "&amp;INDEX(Tareas!$D$6:$D$205,MATCH(C$5&amp;"_"&amp;88,Tareas!$N$6:$N$205,0),1)&amp;CHAR(10)&amp;INDEX(Tareas!$C$6:$C$205,MATCH(C$5&amp;"_"&amp;88,Tareas!$N$6:$N$205,0),1)&amp;CHAR(10)&amp;INDEX(Tareas!$E$6:$E$205,MATCH(C$5&amp;"_"&amp;88,Tareas!$N$6:$N$205,0),1)&amp;CHAR(10)&amp;INDEX(Tareas!$O$6:$O$205,MATCH(C$5&amp;"_"&amp;88,Tareas!$N$6:$N$205,0),1))</x:f>
      </x:c>
      <x:c r="D93" s="21" t="str">
        <x:f>IF(88&gt;D$4,"",INDEX(Tareas!$A$6:$A$205,MATCH(D$5&amp;"_"&amp;88,Tareas!$N$6:$N$205,0),1)&amp;" · "&amp;INDEX(Tareas!$D$6:$D$205,MATCH(D$5&amp;"_"&amp;88,Tareas!$N$6:$N$205,0),1)&amp;CHAR(10)&amp;INDEX(Tareas!$C$6:$C$205,MATCH(D$5&amp;"_"&amp;88,Tareas!$N$6:$N$205,0),1)&amp;CHAR(10)&amp;INDEX(Tareas!$E$6:$E$205,MATCH(D$5&amp;"_"&amp;88,Tareas!$N$6:$N$205,0),1)&amp;CHAR(10)&amp;INDEX(Tareas!$O$6:$O$205,MATCH(D$5&amp;"_"&amp;88,Tareas!$N$6:$N$205,0),1))</x:f>
      </x:c>
      <x:c r="E93" s="21" t="str">
        <x:f>IF(88&gt;E$4,"",INDEX(Tareas!$A$6:$A$205,MATCH(E$5&amp;"_"&amp;88,Tareas!$N$6:$N$205,0),1)&amp;" · "&amp;INDEX(Tareas!$D$6:$D$205,MATCH(E$5&amp;"_"&amp;88,Tareas!$N$6:$N$205,0),1)&amp;CHAR(10)&amp;INDEX(Tareas!$C$6:$C$205,MATCH(E$5&amp;"_"&amp;88,Tareas!$N$6:$N$205,0),1)&amp;CHAR(10)&amp;INDEX(Tareas!$E$6:$E$205,MATCH(E$5&amp;"_"&amp;88,Tareas!$N$6:$N$205,0),1)&amp;CHAR(10)&amp;INDEX(Tareas!$O$6:$O$205,MATCH(E$5&amp;"_"&amp;88,Tareas!$N$6:$N$205,0),1))</x:f>
      </x:c>
      <x:c r="F93" s="21" t="str">
        <x:f>IF(88&gt;F$4,"",INDEX(Tareas!$A$6:$A$205,MATCH(F$5&amp;"_"&amp;88,Tareas!$N$6:$N$205,0),1)&amp;" · "&amp;INDEX(Tareas!$D$6:$D$205,MATCH(F$5&amp;"_"&amp;88,Tareas!$N$6:$N$205,0),1)&amp;CHAR(10)&amp;INDEX(Tareas!$C$6:$C$205,MATCH(F$5&amp;"_"&amp;88,Tareas!$N$6:$N$205,0),1)&amp;CHAR(10)&amp;INDEX(Tareas!$E$6:$E$205,MATCH(F$5&amp;"_"&amp;88,Tareas!$N$6:$N$205,0),1)&amp;CHAR(10)&amp;INDEX(Tareas!$O$6:$O$205,MATCH(F$5&amp;"_"&amp;88,Tareas!$N$6:$N$205,0),1))</x:f>
      </x:c>
    </x:row>
    <x:row r="94" ht="76" customHeight="1">
      <x:c r="A94" s="21" t="str">
        <x:f>IF(89&gt;A$4,"",INDEX(Tareas!$A$6:$A$205,MATCH(A$5&amp;"_"&amp;89,Tareas!$N$6:$N$205,0),1)&amp;" · "&amp;INDEX(Tareas!$D$6:$D$205,MATCH(A$5&amp;"_"&amp;89,Tareas!$N$6:$N$205,0),1)&amp;CHAR(10)&amp;INDEX(Tareas!$C$6:$C$205,MATCH(A$5&amp;"_"&amp;89,Tareas!$N$6:$N$205,0),1)&amp;CHAR(10)&amp;INDEX(Tareas!$E$6:$E$205,MATCH(A$5&amp;"_"&amp;89,Tareas!$N$6:$N$205,0),1)&amp;CHAR(10)&amp;INDEX(Tareas!$O$6:$O$205,MATCH(A$5&amp;"_"&amp;89,Tareas!$N$6:$N$205,0),1))</x:f>
      </x:c>
      <x:c r="B94" s="21" t="str">
        <x:f>IF(89&gt;B$4,"",INDEX(Tareas!$A$6:$A$205,MATCH(B$5&amp;"_"&amp;89,Tareas!$N$6:$N$205,0),1)&amp;" · "&amp;INDEX(Tareas!$D$6:$D$205,MATCH(B$5&amp;"_"&amp;89,Tareas!$N$6:$N$205,0),1)&amp;CHAR(10)&amp;INDEX(Tareas!$C$6:$C$205,MATCH(B$5&amp;"_"&amp;89,Tareas!$N$6:$N$205,0),1)&amp;CHAR(10)&amp;INDEX(Tareas!$E$6:$E$205,MATCH(B$5&amp;"_"&amp;89,Tareas!$N$6:$N$205,0),1)&amp;CHAR(10)&amp;INDEX(Tareas!$O$6:$O$205,MATCH(B$5&amp;"_"&amp;89,Tareas!$N$6:$N$205,0),1))</x:f>
      </x:c>
      <x:c r="C94" s="21" t="str">
        <x:f>IF(89&gt;C$4,"",INDEX(Tareas!$A$6:$A$205,MATCH(C$5&amp;"_"&amp;89,Tareas!$N$6:$N$205,0),1)&amp;" · "&amp;INDEX(Tareas!$D$6:$D$205,MATCH(C$5&amp;"_"&amp;89,Tareas!$N$6:$N$205,0),1)&amp;CHAR(10)&amp;INDEX(Tareas!$C$6:$C$205,MATCH(C$5&amp;"_"&amp;89,Tareas!$N$6:$N$205,0),1)&amp;CHAR(10)&amp;INDEX(Tareas!$E$6:$E$205,MATCH(C$5&amp;"_"&amp;89,Tareas!$N$6:$N$205,0),1)&amp;CHAR(10)&amp;INDEX(Tareas!$O$6:$O$205,MATCH(C$5&amp;"_"&amp;89,Tareas!$N$6:$N$205,0),1))</x:f>
      </x:c>
      <x:c r="D94" s="21" t="str">
        <x:f>IF(89&gt;D$4,"",INDEX(Tareas!$A$6:$A$205,MATCH(D$5&amp;"_"&amp;89,Tareas!$N$6:$N$205,0),1)&amp;" · "&amp;INDEX(Tareas!$D$6:$D$205,MATCH(D$5&amp;"_"&amp;89,Tareas!$N$6:$N$205,0),1)&amp;CHAR(10)&amp;INDEX(Tareas!$C$6:$C$205,MATCH(D$5&amp;"_"&amp;89,Tareas!$N$6:$N$205,0),1)&amp;CHAR(10)&amp;INDEX(Tareas!$E$6:$E$205,MATCH(D$5&amp;"_"&amp;89,Tareas!$N$6:$N$205,0),1)&amp;CHAR(10)&amp;INDEX(Tareas!$O$6:$O$205,MATCH(D$5&amp;"_"&amp;89,Tareas!$N$6:$N$205,0),1))</x:f>
      </x:c>
      <x:c r="E94" s="21" t="str">
        <x:f>IF(89&gt;E$4,"",INDEX(Tareas!$A$6:$A$205,MATCH(E$5&amp;"_"&amp;89,Tareas!$N$6:$N$205,0),1)&amp;" · "&amp;INDEX(Tareas!$D$6:$D$205,MATCH(E$5&amp;"_"&amp;89,Tareas!$N$6:$N$205,0),1)&amp;CHAR(10)&amp;INDEX(Tareas!$C$6:$C$205,MATCH(E$5&amp;"_"&amp;89,Tareas!$N$6:$N$205,0),1)&amp;CHAR(10)&amp;INDEX(Tareas!$E$6:$E$205,MATCH(E$5&amp;"_"&amp;89,Tareas!$N$6:$N$205,0),1)&amp;CHAR(10)&amp;INDEX(Tareas!$O$6:$O$205,MATCH(E$5&amp;"_"&amp;89,Tareas!$N$6:$N$205,0),1))</x:f>
      </x:c>
      <x:c r="F94" s="21" t="str">
        <x:f>IF(89&gt;F$4,"",INDEX(Tareas!$A$6:$A$205,MATCH(F$5&amp;"_"&amp;89,Tareas!$N$6:$N$205,0),1)&amp;" · "&amp;INDEX(Tareas!$D$6:$D$205,MATCH(F$5&amp;"_"&amp;89,Tareas!$N$6:$N$205,0),1)&amp;CHAR(10)&amp;INDEX(Tareas!$C$6:$C$205,MATCH(F$5&amp;"_"&amp;89,Tareas!$N$6:$N$205,0),1)&amp;CHAR(10)&amp;INDEX(Tareas!$E$6:$E$205,MATCH(F$5&amp;"_"&amp;89,Tareas!$N$6:$N$205,0),1)&amp;CHAR(10)&amp;INDEX(Tareas!$O$6:$O$205,MATCH(F$5&amp;"_"&amp;89,Tareas!$N$6:$N$205,0),1))</x:f>
      </x:c>
    </x:row>
    <x:row r="95" ht="76" customHeight="1">
      <x:c r="A95" s="21" t="str">
        <x:f>IF(90&gt;A$4,"",INDEX(Tareas!$A$6:$A$205,MATCH(A$5&amp;"_"&amp;90,Tareas!$N$6:$N$205,0),1)&amp;" · "&amp;INDEX(Tareas!$D$6:$D$205,MATCH(A$5&amp;"_"&amp;90,Tareas!$N$6:$N$205,0),1)&amp;CHAR(10)&amp;INDEX(Tareas!$C$6:$C$205,MATCH(A$5&amp;"_"&amp;90,Tareas!$N$6:$N$205,0),1)&amp;CHAR(10)&amp;INDEX(Tareas!$E$6:$E$205,MATCH(A$5&amp;"_"&amp;90,Tareas!$N$6:$N$205,0),1)&amp;CHAR(10)&amp;INDEX(Tareas!$O$6:$O$205,MATCH(A$5&amp;"_"&amp;90,Tareas!$N$6:$N$205,0),1))</x:f>
      </x:c>
      <x:c r="B95" s="21" t="str">
        <x:f>IF(90&gt;B$4,"",INDEX(Tareas!$A$6:$A$205,MATCH(B$5&amp;"_"&amp;90,Tareas!$N$6:$N$205,0),1)&amp;" · "&amp;INDEX(Tareas!$D$6:$D$205,MATCH(B$5&amp;"_"&amp;90,Tareas!$N$6:$N$205,0),1)&amp;CHAR(10)&amp;INDEX(Tareas!$C$6:$C$205,MATCH(B$5&amp;"_"&amp;90,Tareas!$N$6:$N$205,0),1)&amp;CHAR(10)&amp;INDEX(Tareas!$E$6:$E$205,MATCH(B$5&amp;"_"&amp;90,Tareas!$N$6:$N$205,0),1)&amp;CHAR(10)&amp;INDEX(Tareas!$O$6:$O$205,MATCH(B$5&amp;"_"&amp;90,Tareas!$N$6:$N$205,0),1))</x:f>
      </x:c>
      <x:c r="C95" s="21" t="str">
        <x:f>IF(90&gt;C$4,"",INDEX(Tareas!$A$6:$A$205,MATCH(C$5&amp;"_"&amp;90,Tareas!$N$6:$N$205,0),1)&amp;" · "&amp;INDEX(Tareas!$D$6:$D$205,MATCH(C$5&amp;"_"&amp;90,Tareas!$N$6:$N$205,0),1)&amp;CHAR(10)&amp;INDEX(Tareas!$C$6:$C$205,MATCH(C$5&amp;"_"&amp;90,Tareas!$N$6:$N$205,0),1)&amp;CHAR(10)&amp;INDEX(Tareas!$E$6:$E$205,MATCH(C$5&amp;"_"&amp;90,Tareas!$N$6:$N$205,0),1)&amp;CHAR(10)&amp;INDEX(Tareas!$O$6:$O$205,MATCH(C$5&amp;"_"&amp;90,Tareas!$N$6:$N$205,0),1))</x:f>
      </x:c>
      <x:c r="D95" s="21" t="str">
        <x:f>IF(90&gt;D$4,"",INDEX(Tareas!$A$6:$A$205,MATCH(D$5&amp;"_"&amp;90,Tareas!$N$6:$N$205,0),1)&amp;" · "&amp;INDEX(Tareas!$D$6:$D$205,MATCH(D$5&amp;"_"&amp;90,Tareas!$N$6:$N$205,0),1)&amp;CHAR(10)&amp;INDEX(Tareas!$C$6:$C$205,MATCH(D$5&amp;"_"&amp;90,Tareas!$N$6:$N$205,0),1)&amp;CHAR(10)&amp;INDEX(Tareas!$E$6:$E$205,MATCH(D$5&amp;"_"&amp;90,Tareas!$N$6:$N$205,0),1)&amp;CHAR(10)&amp;INDEX(Tareas!$O$6:$O$205,MATCH(D$5&amp;"_"&amp;90,Tareas!$N$6:$N$205,0),1))</x:f>
      </x:c>
      <x:c r="E95" s="21" t="str">
        <x:f>IF(90&gt;E$4,"",INDEX(Tareas!$A$6:$A$205,MATCH(E$5&amp;"_"&amp;90,Tareas!$N$6:$N$205,0),1)&amp;" · "&amp;INDEX(Tareas!$D$6:$D$205,MATCH(E$5&amp;"_"&amp;90,Tareas!$N$6:$N$205,0),1)&amp;CHAR(10)&amp;INDEX(Tareas!$C$6:$C$205,MATCH(E$5&amp;"_"&amp;90,Tareas!$N$6:$N$205,0),1)&amp;CHAR(10)&amp;INDEX(Tareas!$E$6:$E$205,MATCH(E$5&amp;"_"&amp;90,Tareas!$N$6:$N$205,0),1)&amp;CHAR(10)&amp;INDEX(Tareas!$O$6:$O$205,MATCH(E$5&amp;"_"&amp;90,Tareas!$N$6:$N$205,0),1))</x:f>
      </x:c>
      <x:c r="F95" s="21" t="str">
        <x:f>IF(90&gt;F$4,"",INDEX(Tareas!$A$6:$A$205,MATCH(F$5&amp;"_"&amp;90,Tareas!$N$6:$N$205,0),1)&amp;" · "&amp;INDEX(Tareas!$D$6:$D$205,MATCH(F$5&amp;"_"&amp;90,Tareas!$N$6:$N$205,0),1)&amp;CHAR(10)&amp;INDEX(Tareas!$C$6:$C$205,MATCH(F$5&amp;"_"&amp;90,Tareas!$N$6:$N$205,0),1)&amp;CHAR(10)&amp;INDEX(Tareas!$E$6:$E$205,MATCH(F$5&amp;"_"&amp;90,Tareas!$N$6:$N$205,0),1)&amp;CHAR(10)&amp;INDEX(Tareas!$O$6:$O$205,MATCH(F$5&amp;"_"&amp;90,Tareas!$N$6:$N$205,0),1))</x:f>
      </x:c>
    </x:row>
    <x:row r="96" ht="76" customHeight="1">
      <x:c r="A96" s="21" t="str">
        <x:f>IF(91&gt;A$4,"",INDEX(Tareas!$A$6:$A$205,MATCH(A$5&amp;"_"&amp;91,Tareas!$N$6:$N$205,0),1)&amp;" · "&amp;INDEX(Tareas!$D$6:$D$205,MATCH(A$5&amp;"_"&amp;91,Tareas!$N$6:$N$205,0),1)&amp;CHAR(10)&amp;INDEX(Tareas!$C$6:$C$205,MATCH(A$5&amp;"_"&amp;91,Tareas!$N$6:$N$205,0),1)&amp;CHAR(10)&amp;INDEX(Tareas!$E$6:$E$205,MATCH(A$5&amp;"_"&amp;91,Tareas!$N$6:$N$205,0),1)&amp;CHAR(10)&amp;INDEX(Tareas!$O$6:$O$205,MATCH(A$5&amp;"_"&amp;91,Tareas!$N$6:$N$205,0),1))</x:f>
      </x:c>
      <x:c r="B96" s="21" t="str">
        <x:f>IF(91&gt;B$4,"",INDEX(Tareas!$A$6:$A$205,MATCH(B$5&amp;"_"&amp;91,Tareas!$N$6:$N$205,0),1)&amp;" · "&amp;INDEX(Tareas!$D$6:$D$205,MATCH(B$5&amp;"_"&amp;91,Tareas!$N$6:$N$205,0),1)&amp;CHAR(10)&amp;INDEX(Tareas!$C$6:$C$205,MATCH(B$5&amp;"_"&amp;91,Tareas!$N$6:$N$205,0),1)&amp;CHAR(10)&amp;INDEX(Tareas!$E$6:$E$205,MATCH(B$5&amp;"_"&amp;91,Tareas!$N$6:$N$205,0),1)&amp;CHAR(10)&amp;INDEX(Tareas!$O$6:$O$205,MATCH(B$5&amp;"_"&amp;91,Tareas!$N$6:$N$205,0),1))</x:f>
      </x:c>
      <x:c r="C96" s="21" t="str">
        <x:f>IF(91&gt;C$4,"",INDEX(Tareas!$A$6:$A$205,MATCH(C$5&amp;"_"&amp;91,Tareas!$N$6:$N$205,0),1)&amp;" · "&amp;INDEX(Tareas!$D$6:$D$205,MATCH(C$5&amp;"_"&amp;91,Tareas!$N$6:$N$205,0),1)&amp;CHAR(10)&amp;INDEX(Tareas!$C$6:$C$205,MATCH(C$5&amp;"_"&amp;91,Tareas!$N$6:$N$205,0),1)&amp;CHAR(10)&amp;INDEX(Tareas!$E$6:$E$205,MATCH(C$5&amp;"_"&amp;91,Tareas!$N$6:$N$205,0),1)&amp;CHAR(10)&amp;INDEX(Tareas!$O$6:$O$205,MATCH(C$5&amp;"_"&amp;91,Tareas!$N$6:$N$205,0),1))</x:f>
      </x:c>
      <x:c r="D96" s="21" t="str">
        <x:f>IF(91&gt;D$4,"",INDEX(Tareas!$A$6:$A$205,MATCH(D$5&amp;"_"&amp;91,Tareas!$N$6:$N$205,0),1)&amp;" · "&amp;INDEX(Tareas!$D$6:$D$205,MATCH(D$5&amp;"_"&amp;91,Tareas!$N$6:$N$205,0),1)&amp;CHAR(10)&amp;INDEX(Tareas!$C$6:$C$205,MATCH(D$5&amp;"_"&amp;91,Tareas!$N$6:$N$205,0),1)&amp;CHAR(10)&amp;INDEX(Tareas!$E$6:$E$205,MATCH(D$5&amp;"_"&amp;91,Tareas!$N$6:$N$205,0),1)&amp;CHAR(10)&amp;INDEX(Tareas!$O$6:$O$205,MATCH(D$5&amp;"_"&amp;91,Tareas!$N$6:$N$205,0),1))</x:f>
      </x:c>
      <x:c r="E96" s="21" t="str">
        <x:f>IF(91&gt;E$4,"",INDEX(Tareas!$A$6:$A$205,MATCH(E$5&amp;"_"&amp;91,Tareas!$N$6:$N$205,0),1)&amp;" · "&amp;INDEX(Tareas!$D$6:$D$205,MATCH(E$5&amp;"_"&amp;91,Tareas!$N$6:$N$205,0),1)&amp;CHAR(10)&amp;INDEX(Tareas!$C$6:$C$205,MATCH(E$5&amp;"_"&amp;91,Tareas!$N$6:$N$205,0),1)&amp;CHAR(10)&amp;INDEX(Tareas!$E$6:$E$205,MATCH(E$5&amp;"_"&amp;91,Tareas!$N$6:$N$205,0),1)&amp;CHAR(10)&amp;INDEX(Tareas!$O$6:$O$205,MATCH(E$5&amp;"_"&amp;91,Tareas!$N$6:$N$205,0),1))</x:f>
      </x:c>
      <x:c r="F96" s="21" t="str">
        <x:f>IF(91&gt;F$4,"",INDEX(Tareas!$A$6:$A$205,MATCH(F$5&amp;"_"&amp;91,Tareas!$N$6:$N$205,0),1)&amp;" · "&amp;INDEX(Tareas!$D$6:$D$205,MATCH(F$5&amp;"_"&amp;91,Tareas!$N$6:$N$205,0),1)&amp;CHAR(10)&amp;INDEX(Tareas!$C$6:$C$205,MATCH(F$5&amp;"_"&amp;91,Tareas!$N$6:$N$205,0),1)&amp;CHAR(10)&amp;INDEX(Tareas!$E$6:$E$205,MATCH(F$5&amp;"_"&amp;91,Tareas!$N$6:$N$205,0),1)&amp;CHAR(10)&amp;INDEX(Tareas!$O$6:$O$205,MATCH(F$5&amp;"_"&amp;91,Tareas!$N$6:$N$205,0),1))</x:f>
      </x:c>
    </x:row>
    <x:row r="97" ht="76" customHeight="1">
      <x:c r="A97" s="21" t="str">
        <x:f>IF(92&gt;A$4,"",INDEX(Tareas!$A$6:$A$205,MATCH(A$5&amp;"_"&amp;92,Tareas!$N$6:$N$205,0),1)&amp;" · "&amp;INDEX(Tareas!$D$6:$D$205,MATCH(A$5&amp;"_"&amp;92,Tareas!$N$6:$N$205,0),1)&amp;CHAR(10)&amp;INDEX(Tareas!$C$6:$C$205,MATCH(A$5&amp;"_"&amp;92,Tareas!$N$6:$N$205,0),1)&amp;CHAR(10)&amp;INDEX(Tareas!$E$6:$E$205,MATCH(A$5&amp;"_"&amp;92,Tareas!$N$6:$N$205,0),1)&amp;CHAR(10)&amp;INDEX(Tareas!$O$6:$O$205,MATCH(A$5&amp;"_"&amp;92,Tareas!$N$6:$N$205,0),1))</x:f>
      </x:c>
      <x:c r="B97" s="21" t="str">
        <x:f>IF(92&gt;B$4,"",INDEX(Tareas!$A$6:$A$205,MATCH(B$5&amp;"_"&amp;92,Tareas!$N$6:$N$205,0),1)&amp;" · "&amp;INDEX(Tareas!$D$6:$D$205,MATCH(B$5&amp;"_"&amp;92,Tareas!$N$6:$N$205,0),1)&amp;CHAR(10)&amp;INDEX(Tareas!$C$6:$C$205,MATCH(B$5&amp;"_"&amp;92,Tareas!$N$6:$N$205,0),1)&amp;CHAR(10)&amp;INDEX(Tareas!$E$6:$E$205,MATCH(B$5&amp;"_"&amp;92,Tareas!$N$6:$N$205,0),1)&amp;CHAR(10)&amp;INDEX(Tareas!$O$6:$O$205,MATCH(B$5&amp;"_"&amp;92,Tareas!$N$6:$N$205,0),1))</x:f>
      </x:c>
      <x:c r="C97" s="21" t="str">
        <x:f>IF(92&gt;C$4,"",INDEX(Tareas!$A$6:$A$205,MATCH(C$5&amp;"_"&amp;92,Tareas!$N$6:$N$205,0),1)&amp;" · "&amp;INDEX(Tareas!$D$6:$D$205,MATCH(C$5&amp;"_"&amp;92,Tareas!$N$6:$N$205,0),1)&amp;CHAR(10)&amp;INDEX(Tareas!$C$6:$C$205,MATCH(C$5&amp;"_"&amp;92,Tareas!$N$6:$N$205,0),1)&amp;CHAR(10)&amp;INDEX(Tareas!$E$6:$E$205,MATCH(C$5&amp;"_"&amp;92,Tareas!$N$6:$N$205,0),1)&amp;CHAR(10)&amp;INDEX(Tareas!$O$6:$O$205,MATCH(C$5&amp;"_"&amp;92,Tareas!$N$6:$N$205,0),1))</x:f>
      </x:c>
      <x:c r="D97" s="21" t="str">
        <x:f>IF(92&gt;D$4,"",INDEX(Tareas!$A$6:$A$205,MATCH(D$5&amp;"_"&amp;92,Tareas!$N$6:$N$205,0),1)&amp;" · "&amp;INDEX(Tareas!$D$6:$D$205,MATCH(D$5&amp;"_"&amp;92,Tareas!$N$6:$N$205,0),1)&amp;CHAR(10)&amp;INDEX(Tareas!$C$6:$C$205,MATCH(D$5&amp;"_"&amp;92,Tareas!$N$6:$N$205,0),1)&amp;CHAR(10)&amp;INDEX(Tareas!$E$6:$E$205,MATCH(D$5&amp;"_"&amp;92,Tareas!$N$6:$N$205,0),1)&amp;CHAR(10)&amp;INDEX(Tareas!$O$6:$O$205,MATCH(D$5&amp;"_"&amp;92,Tareas!$N$6:$N$205,0),1))</x:f>
      </x:c>
      <x:c r="E97" s="21" t="str">
        <x:f>IF(92&gt;E$4,"",INDEX(Tareas!$A$6:$A$205,MATCH(E$5&amp;"_"&amp;92,Tareas!$N$6:$N$205,0),1)&amp;" · "&amp;INDEX(Tareas!$D$6:$D$205,MATCH(E$5&amp;"_"&amp;92,Tareas!$N$6:$N$205,0),1)&amp;CHAR(10)&amp;INDEX(Tareas!$C$6:$C$205,MATCH(E$5&amp;"_"&amp;92,Tareas!$N$6:$N$205,0),1)&amp;CHAR(10)&amp;INDEX(Tareas!$E$6:$E$205,MATCH(E$5&amp;"_"&amp;92,Tareas!$N$6:$N$205,0),1)&amp;CHAR(10)&amp;INDEX(Tareas!$O$6:$O$205,MATCH(E$5&amp;"_"&amp;92,Tareas!$N$6:$N$205,0),1))</x:f>
      </x:c>
      <x:c r="F97" s="21" t="str">
        <x:f>IF(92&gt;F$4,"",INDEX(Tareas!$A$6:$A$205,MATCH(F$5&amp;"_"&amp;92,Tareas!$N$6:$N$205,0),1)&amp;" · "&amp;INDEX(Tareas!$D$6:$D$205,MATCH(F$5&amp;"_"&amp;92,Tareas!$N$6:$N$205,0),1)&amp;CHAR(10)&amp;INDEX(Tareas!$C$6:$C$205,MATCH(F$5&amp;"_"&amp;92,Tareas!$N$6:$N$205,0),1)&amp;CHAR(10)&amp;INDEX(Tareas!$E$6:$E$205,MATCH(F$5&amp;"_"&amp;92,Tareas!$N$6:$N$205,0),1)&amp;CHAR(10)&amp;INDEX(Tareas!$O$6:$O$205,MATCH(F$5&amp;"_"&amp;92,Tareas!$N$6:$N$205,0),1))</x:f>
      </x:c>
    </x:row>
    <x:row r="98" ht="76" customHeight="1">
      <x:c r="A98" s="21" t="str">
        <x:f>IF(93&gt;A$4,"",INDEX(Tareas!$A$6:$A$205,MATCH(A$5&amp;"_"&amp;93,Tareas!$N$6:$N$205,0),1)&amp;" · "&amp;INDEX(Tareas!$D$6:$D$205,MATCH(A$5&amp;"_"&amp;93,Tareas!$N$6:$N$205,0),1)&amp;CHAR(10)&amp;INDEX(Tareas!$C$6:$C$205,MATCH(A$5&amp;"_"&amp;93,Tareas!$N$6:$N$205,0),1)&amp;CHAR(10)&amp;INDEX(Tareas!$E$6:$E$205,MATCH(A$5&amp;"_"&amp;93,Tareas!$N$6:$N$205,0),1)&amp;CHAR(10)&amp;INDEX(Tareas!$O$6:$O$205,MATCH(A$5&amp;"_"&amp;93,Tareas!$N$6:$N$205,0),1))</x:f>
      </x:c>
      <x:c r="B98" s="21" t="str">
        <x:f>IF(93&gt;B$4,"",INDEX(Tareas!$A$6:$A$205,MATCH(B$5&amp;"_"&amp;93,Tareas!$N$6:$N$205,0),1)&amp;" · "&amp;INDEX(Tareas!$D$6:$D$205,MATCH(B$5&amp;"_"&amp;93,Tareas!$N$6:$N$205,0),1)&amp;CHAR(10)&amp;INDEX(Tareas!$C$6:$C$205,MATCH(B$5&amp;"_"&amp;93,Tareas!$N$6:$N$205,0),1)&amp;CHAR(10)&amp;INDEX(Tareas!$E$6:$E$205,MATCH(B$5&amp;"_"&amp;93,Tareas!$N$6:$N$205,0),1)&amp;CHAR(10)&amp;INDEX(Tareas!$O$6:$O$205,MATCH(B$5&amp;"_"&amp;93,Tareas!$N$6:$N$205,0),1))</x:f>
      </x:c>
      <x:c r="C98" s="21" t="str">
        <x:f>IF(93&gt;C$4,"",INDEX(Tareas!$A$6:$A$205,MATCH(C$5&amp;"_"&amp;93,Tareas!$N$6:$N$205,0),1)&amp;" · "&amp;INDEX(Tareas!$D$6:$D$205,MATCH(C$5&amp;"_"&amp;93,Tareas!$N$6:$N$205,0),1)&amp;CHAR(10)&amp;INDEX(Tareas!$C$6:$C$205,MATCH(C$5&amp;"_"&amp;93,Tareas!$N$6:$N$205,0),1)&amp;CHAR(10)&amp;INDEX(Tareas!$E$6:$E$205,MATCH(C$5&amp;"_"&amp;93,Tareas!$N$6:$N$205,0),1)&amp;CHAR(10)&amp;INDEX(Tareas!$O$6:$O$205,MATCH(C$5&amp;"_"&amp;93,Tareas!$N$6:$N$205,0),1))</x:f>
      </x:c>
      <x:c r="D98" s="21" t="str">
        <x:f>IF(93&gt;D$4,"",INDEX(Tareas!$A$6:$A$205,MATCH(D$5&amp;"_"&amp;93,Tareas!$N$6:$N$205,0),1)&amp;" · "&amp;INDEX(Tareas!$D$6:$D$205,MATCH(D$5&amp;"_"&amp;93,Tareas!$N$6:$N$205,0),1)&amp;CHAR(10)&amp;INDEX(Tareas!$C$6:$C$205,MATCH(D$5&amp;"_"&amp;93,Tareas!$N$6:$N$205,0),1)&amp;CHAR(10)&amp;INDEX(Tareas!$E$6:$E$205,MATCH(D$5&amp;"_"&amp;93,Tareas!$N$6:$N$205,0),1)&amp;CHAR(10)&amp;INDEX(Tareas!$O$6:$O$205,MATCH(D$5&amp;"_"&amp;93,Tareas!$N$6:$N$205,0),1))</x:f>
      </x:c>
      <x:c r="E98" s="21" t="str">
        <x:f>IF(93&gt;E$4,"",INDEX(Tareas!$A$6:$A$205,MATCH(E$5&amp;"_"&amp;93,Tareas!$N$6:$N$205,0),1)&amp;" · "&amp;INDEX(Tareas!$D$6:$D$205,MATCH(E$5&amp;"_"&amp;93,Tareas!$N$6:$N$205,0),1)&amp;CHAR(10)&amp;INDEX(Tareas!$C$6:$C$205,MATCH(E$5&amp;"_"&amp;93,Tareas!$N$6:$N$205,0),1)&amp;CHAR(10)&amp;INDEX(Tareas!$E$6:$E$205,MATCH(E$5&amp;"_"&amp;93,Tareas!$N$6:$N$205,0),1)&amp;CHAR(10)&amp;INDEX(Tareas!$O$6:$O$205,MATCH(E$5&amp;"_"&amp;93,Tareas!$N$6:$N$205,0),1))</x:f>
      </x:c>
      <x:c r="F98" s="21" t="str">
        <x:f>IF(93&gt;F$4,"",INDEX(Tareas!$A$6:$A$205,MATCH(F$5&amp;"_"&amp;93,Tareas!$N$6:$N$205,0),1)&amp;" · "&amp;INDEX(Tareas!$D$6:$D$205,MATCH(F$5&amp;"_"&amp;93,Tareas!$N$6:$N$205,0),1)&amp;CHAR(10)&amp;INDEX(Tareas!$C$6:$C$205,MATCH(F$5&amp;"_"&amp;93,Tareas!$N$6:$N$205,0),1)&amp;CHAR(10)&amp;INDEX(Tareas!$E$6:$E$205,MATCH(F$5&amp;"_"&amp;93,Tareas!$N$6:$N$205,0),1)&amp;CHAR(10)&amp;INDEX(Tareas!$O$6:$O$205,MATCH(F$5&amp;"_"&amp;93,Tareas!$N$6:$N$205,0),1))</x:f>
      </x:c>
    </x:row>
    <x:row r="99" ht="76" customHeight="1">
      <x:c r="A99" s="21" t="str">
        <x:f>IF(94&gt;A$4,"",INDEX(Tareas!$A$6:$A$205,MATCH(A$5&amp;"_"&amp;94,Tareas!$N$6:$N$205,0),1)&amp;" · "&amp;INDEX(Tareas!$D$6:$D$205,MATCH(A$5&amp;"_"&amp;94,Tareas!$N$6:$N$205,0),1)&amp;CHAR(10)&amp;INDEX(Tareas!$C$6:$C$205,MATCH(A$5&amp;"_"&amp;94,Tareas!$N$6:$N$205,0),1)&amp;CHAR(10)&amp;INDEX(Tareas!$E$6:$E$205,MATCH(A$5&amp;"_"&amp;94,Tareas!$N$6:$N$205,0),1)&amp;CHAR(10)&amp;INDEX(Tareas!$O$6:$O$205,MATCH(A$5&amp;"_"&amp;94,Tareas!$N$6:$N$205,0),1))</x:f>
      </x:c>
      <x:c r="B99" s="21" t="str">
        <x:f>IF(94&gt;B$4,"",INDEX(Tareas!$A$6:$A$205,MATCH(B$5&amp;"_"&amp;94,Tareas!$N$6:$N$205,0),1)&amp;" · "&amp;INDEX(Tareas!$D$6:$D$205,MATCH(B$5&amp;"_"&amp;94,Tareas!$N$6:$N$205,0),1)&amp;CHAR(10)&amp;INDEX(Tareas!$C$6:$C$205,MATCH(B$5&amp;"_"&amp;94,Tareas!$N$6:$N$205,0),1)&amp;CHAR(10)&amp;INDEX(Tareas!$E$6:$E$205,MATCH(B$5&amp;"_"&amp;94,Tareas!$N$6:$N$205,0),1)&amp;CHAR(10)&amp;INDEX(Tareas!$O$6:$O$205,MATCH(B$5&amp;"_"&amp;94,Tareas!$N$6:$N$205,0),1))</x:f>
      </x:c>
      <x:c r="C99" s="21" t="str">
        <x:f>IF(94&gt;C$4,"",INDEX(Tareas!$A$6:$A$205,MATCH(C$5&amp;"_"&amp;94,Tareas!$N$6:$N$205,0),1)&amp;" · "&amp;INDEX(Tareas!$D$6:$D$205,MATCH(C$5&amp;"_"&amp;94,Tareas!$N$6:$N$205,0),1)&amp;CHAR(10)&amp;INDEX(Tareas!$C$6:$C$205,MATCH(C$5&amp;"_"&amp;94,Tareas!$N$6:$N$205,0),1)&amp;CHAR(10)&amp;INDEX(Tareas!$E$6:$E$205,MATCH(C$5&amp;"_"&amp;94,Tareas!$N$6:$N$205,0),1)&amp;CHAR(10)&amp;INDEX(Tareas!$O$6:$O$205,MATCH(C$5&amp;"_"&amp;94,Tareas!$N$6:$N$205,0),1))</x:f>
      </x:c>
      <x:c r="D99" s="21" t="str">
        <x:f>IF(94&gt;D$4,"",INDEX(Tareas!$A$6:$A$205,MATCH(D$5&amp;"_"&amp;94,Tareas!$N$6:$N$205,0),1)&amp;" · "&amp;INDEX(Tareas!$D$6:$D$205,MATCH(D$5&amp;"_"&amp;94,Tareas!$N$6:$N$205,0),1)&amp;CHAR(10)&amp;INDEX(Tareas!$C$6:$C$205,MATCH(D$5&amp;"_"&amp;94,Tareas!$N$6:$N$205,0),1)&amp;CHAR(10)&amp;INDEX(Tareas!$E$6:$E$205,MATCH(D$5&amp;"_"&amp;94,Tareas!$N$6:$N$205,0),1)&amp;CHAR(10)&amp;INDEX(Tareas!$O$6:$O$205,MATCH(D$5&amp;"_"&amp;94,Tareas!$N$6:$N$205,0),1))</x:f>
      </x:c>
      <x:c r="E99" s="21" t="str">
        <x:f>IF(94&gt;E$4,"",INDEX(Tareas!$A$6:$A$205,MATCH(E$5&amp;"_"&amp;94,Tareas!$N$6:$N$205,0),1)&amp;" · "&amp;INDEX(Tareas!$D$6:$D$205,MATCH(E$5&amp;"_"&amp;94,Tareas!$N$6:$N$205,0),1)&amp;CHAR(10)&amp;INDEX(Tareas!$C$6:$C$205,MATCH(E$5&amp;"_"&amp;94,Tareas!$N$6:$N$205,0),1)&amp;CHAR(10)&amp;INDEX(Tareas!$E$6:$E$205,MATCH(E$5&amp;"_"&amp;94,Tareas!$N$6:$N$205,0),1)&amp;CHAR(10)&amp;INDEX(Tareas!$O$6:$O$205,MATCH(E$5&amp;"_"&amp;94,Tareas!$N$6:$N$205,0),1))</x:f>
      </x:c>
      <x:c r="F99" s="21" t="str">
        <x:f>IF(94&gt;F$4,"",INDEX(Tareas!$A$6:$A$205,MATCH(F$5&amp;"_"&amp;94,Tareas!$N$6:$N$205,0),1)&amp;" · "&amp;INDEX(Tareas!$D$6:$D$205,MATCH(F$5&amp;"_"&amp;94,Tareas!$N$6:$N$205,0),1)&amp;CHAR(10)&amp;INDEX(Tareas!$C$6:$C$205,MATCH(F$5&amp;"_"&amp;94,Tareas!$N$6:$N$205,0),1)&amp;CHAR(10)&amp;INDEX(Tareas!$E$6:$E$205,MATCH(F$5&amp;"_"&amp;94,Tareas!$N$6:$N$205,0),1)&amp;CHAR(10)&amp;INDEX(Tareas!$O$6:$O$205,MATCH(F$5&amp;"_"&amp;94,Tareas!$N$6:$N$205,0),1))</x:f>
      </x:c>
    </x:row>
    <x:row r="100" ht="76" customHeight="1">
      <x:c r="A100" s="21" t="str">
        <x:f>IF(95&gt;A$4,"",INDEX(Tareas!$A$6:$A$205,MATCH(A$5&amp;"_"&amp;95,Tareas!$N$6:$N$205,0),1)&amp;" · "&amp;INDEX(Tareas!$D$6:$D$205,MATCH(A$5&amp;"_"&amp;95,Tareas!$N$6:$N$205,0),1)&amp;CHAR(10)&amp;INDEX(Tareas!$C$6:$C$205,MATCH(A$5&amp;"_"&amp;95,Tareas!$N$6:$N$205,0),1)&amp;CHAR(10)&amp;INDEX(Tareas!$E$6:$E$205,MATCH(A$5&amp;"_"&amp;95,Tareas!$N$6:$N$205,0),1)&amp;CHAR(10)&amp;INDEX(Tareas!$O$6:$O$205,MATCH(A$5&amp;"_"&amp;95,Tareas!$N$6:$N$205,0),1))</x:f>
      </x:c>
      <x:c r="B100" s="21" t="str">
        <x:f>IF(95&gt;B$4,"",INDEX(Tareas!$A$6:$A$205,MATCH(B$5&amp;"_"&amp;95,Tareas!$N$6:$N$205,0),1)&amp;" · "&amp;INDEX(Tareas!$D$6:$D$205,MATCH(B$5&amp;"_"&amp;95,Tareas!$N$6:$N$205,0),1)&amp;CHAR(10)&amp;INDEX(Tareas!$C$6:$C$205,MATCH(B$5&amp;"_"&amp;95,Tareas!$N$6:$N$205,0),1)&amp;CHAR(10)&amp;INDEX(Tareas!$E$6:$E$205,MATCH(B$5&amp;"_"&amp;95,Tareas!$N$6:$N$205,0),1)&amp;CHAR(10)&amp;INDEX(Tareas!$O$6:$O$205,MATCH(B$5&amp;"_"&amp;95,Tareas!$N$6:$N$205,0),1))</x:f>
      </x:c>
      <x:c r="C100" s="21" t="str">
        <x:f>IF(95&gt;C$4,"",INDEX(Tareas!$A$6:$A$205,MATCH(C$5&amp;"_"&amp;95,Tareas!$N$6:$N$205,0),1)&amp;" · "&amp;INDEX(Tareas!$D$6:$D$205,MATCH(C$5&amp;"_"&amp;95,Tareas!$N$6:$N$205,0),1)&amp;CHAR(10)&amp;INDEX(Tareas!$C$6:$C$205,MATCH(C$5&amp;"_"&amp;95,Tareas!$N$6:$N$205,0),1)&amp;CHAR(10)&amp;INDEX(Tareas!$E$6:$E$205,MATCH(C$5&amp;"_"&amp;95,Tareas!$N$6:$N$205,0),1)&amp;CHAR(10)&amp;INDEX(Tareas!$O$6:$O$205,MATCH(C$5&amp;"_"&amp;95,Tareas!$N$6:$N$205,0),1))</x:f>
      </x:c>
      <x:c r="D100" s="21" t="str">
        <x:f>IF(95&gt;D$4,"",INDEX(Tareas!$A$6:$A$205,MATCH(D$5&amp;"_"&amp;95,Tareas!$N$6:$N$205,0),1)&amp;" · "&amp;INDEX(Tareas!$D$6:$D$205,MATCH(D$5&amp;"_"&amp;95,Tareas!$N$6:$N$205,0),1)&amp;CHAR(10)&amp;INDEX(Tareas!$C$6:$C$205,MATCH(D$5&amp;"_"&amp;95,Tareas!$N$6:$N$205,0),1)&amp;CHAR(10)&amp;INDEX(Tareas!$E$6:$E$205,MATCH(D$5&amp;"_"&amp;95,Tareas!$N$6:$N$205,0),1)&amp;CHAR(10)&amp;INDEX(Tareas!$O$6:$O$205,MATCH(D$5&amp;"_"&amp;95,Tareas!$N$6:$N$205,0),1))</x:f>
      </x:c>
      <x:c r="E100" s="21" t="str">
        <x:f>IF(95&gt;E$4,"",INDEX(Tareas!$A$6:$A$205,MATCH(E$5&amp;"_"&amp;95,Tareas!$N$6:$N$205,0),1)&amp;" · "&amp;INDEX(Tareas!$D$6:$D$205,MATCH(E$5&amp;"_"&amp;95,Tareas!$N$6:$N$205,0),1)&amp;CHAR(10)&amp;INDEX(Tareas!$C$6:$C$205,MATCH(E$5&amp;"_"&amp;95,Tareas!$N$6:$N$205,0),1)&amp;CHAR(10)&amp;INDEX(Tareas!$E$6:$E$205,MATCH(E$5&amp;"_"&amp;95,Tareas!$N$6:$N$205,0),1)&amp;CHAR(10)&amp;INDEX(Tareas!$O$6:$O$205,MATCH(E$5&amp;"_"&amp;95,Tareas!$N$6:$N$205,0),1))</x:f>
      </x:c>
      <x:c r="F100" s="21" t="str">
        <x:f>IF(95&gt;F$4,"",INDEX(Tareas!$A$6:$A$205,MATCH(F$5&amp;"_"&amp;95,Tareas!$N$6:$N$205,0),1)&amp;" · "&amp;INDEX(Tareas!$D$6:$D$205,MATCH(F$5&amp;"_"&amp;95,Tareas!$N$6:$N$205,0),1)&amp;CHAR(10)&amp;INDEX(Tareas!$C$6:$C$205,MATCH(F$5&amp;"_"&amp;95,Tareas!$N$6:$N$205,0),1)&amp;CHAR(10)&amp;INDEX(Tareas!$E$6:$E$205,MATCH(F$5&amp;"_"&amp;95,Tareas!$N$6:$N$205,0),1)&amp;CHAR(10)&amp;INDEX(Tareas!$O$6:$O$205,MATCH(F$5&amp;"_"&amp;95,Tareas!$N$6:$N$205,0),1))</x:f>
      </x:c>
    </x:row>
    <x:row r="101" ht="76" customHeight="1">
      <x:c r="A101" s="21" t="str">
        <x:f>IF(96&gt;A$4,"",INDEX(Tareas!$A$6:$A$205,MATCH(A$5&amp;"_"&amp;96,Tareas!$N$6:$N$205,0),1)&amp;" · "&amp;INDEX(Tareas!$D$6:$D$205,MATCH(A$5&amp;"_"&amp;96,Tareas!$N$6:$N$205,0),1)&amp;CHAR(10)&amp;INDEX(Tareas!$C$6:$C$205,MATCH(A$5&amp;"_"&amp;96,Tareas!$N$6:$N$205,0),1)&amp;CHAR(10)&amp;INDEX(Tareas!$E$6:$E$205,MATCH(A$5&amp;"_"&amp;96,Tareas!$N$6:$N$205,0),1)&amp;CHAR(10)&amp;INDEX(Tareas!$O$6:$O$205,MATCH(A$5&amp;"_"&amp;96,Tareas!$N$6:$N$205,0),1))</x:f>
      </x:c>
      <x:c r="B101" s="21" t="str">
        <x:f>IF(96&gt;B$4,"",INDEX(Tareas!$A$6:$A$205,MATCH(B$5&amp;"_"&amp;96,Tareas!$N$6:$N$205,0),1)&amp;" · "&amp;INDEX(Tareas!$D$6:$D$205,MATCH(B$5&amp;"_"&amp;96,Tareas!$N$6:$N$205,0),1)&amp;CHAR(10)&amp;INDEX(Tareas!$C$6:$C$205,MATCH(B$5&amp;"_"&amp;96,Tareas!$N$6:$N$205,0),1)&amp;CHAR(10)&amp;INDEX(Tareas!$E$6:$E$205,MATCH(B$5&amp;"_"&amp;96,Tareas!$N$6:$N$205,0),1)&amp;CHAR(10)&amp;INDEX(Tareas!$O$6:$O$205,MATCH(B$5&amp;"_"&amp;96,Tareas!$N$6:$N$205,0),1))</x:f>
      </x:c>
      <x:c r="C101" s="21" t="str">
        <x:f>IF(96&gt;C$4,"",INDEX(Tareas!$A$6:$A$205,MATCH(C$5&amp;"_"&amp;96,Tareas!$N$6:$N$205,0),1)&amp;" · "&amp;INDEX(Tareas!$D$6:$D$205,MATCH(C$5&amp;"_"&amp;96,Tareas!$N$6:$N$205,0),1)&amp;CHAR(10)&amp;INDEX(Tareas!$C$6:$C$205,MATCH(C$5&amp;"_"&amp;96,Tareas!$N$6:$N$205,0),1)&amp;CHAR(10)&amp;INDEX(Tareas!$E$6:$E$205,MATCH(C$5&amp;"_"&amp;96,Tareas!$N$6:$N$205,0),1)&amp;CHAR(10)&amp;INDEX(Tareas!$O$6:$O$205,MATCH(C$5&amp;"_"&amp;96,Tareas!$N$6:$N$205,0),1))</x:f>
      </x:c>
      <x:c r="D101" s="21" t="str">
        <x:f>IF(96&gt;D$4,"",INDEX(Tareas!$A$6:$A$205,MATCH(D$5&amp;"_"&amp;96,Tareas!$N$6:$N$205,0),1)&amp;" · "&amp;INDEX(Tareas!$D$6:$D$205,MATCH(D$5&amp;"_"&amp;96,Tareas!$N$6:$N$205,0),1)&amp;CHAR(10)&amp;INDEX(Tareas!$C$6:$C$205,MATCH(D$5&amp;"_"&amp;96,Tareas!$N$6:$N$205,0),1)&amp;CHAR(10)&amp;INDEX(Tareas!$E$6:$E$205,MATCH(D$5&amp;"_"&amp;96,Tareas!$N$6:$N$205,0),1)&amp;CHAR(10)&amp;INDEX(Tareas!$O$6:$O$205,MATCH(D$5&amp;"_"&amp;96,Tareas!$N$6:$N$205,0),1))</x:f>
      </x:c>
      <x:c r="E101" s="21" t="str">
        <x:f>IF(96&gt;E$4,"",INDEX(Tareas!$A$6:$A$205,MATCH(E$5&amp;"_"&amp;96,Tareas!$N$6:$N$205,0),1)&amp;" · "&amp;INDEX(Tareas!$D$6:$D$205,MATCH(E$5&amp;"_"&amp;96,Tareas!$N$6:$N$205,0),1)&amp;CHAR(10)&amp;INDEX(Tareas!$C$6:$C$205,MATCH(E$5&amp;"_"&amp;96,Tareas!$N$6:$N$205,0),1)&amp;CHAR(10)&amp;INDEX(Tareas!$E$6:$E$205,MATCH(E$5&amp;"_"&amp;96,Tareas!$N$6:$N$205,0),1)&amp;CHAR(10)&amp;INDEX(Tareas!$O$6:$O$205,MATCH(E$5&amp;"_"&amp;96,Tareas!$N$6:$N$205,0),1))</x:f>
      </x:c>
      <x:c r="F101" s="21" t="str">
        <x:f>IF(96&gt;F$4,"",INDEX(Tareas!$A$6:$A$205,MATCH(F$5&amp;"_"&amp;96,Tareas!$N$6:$N$205,0),1)&amp;" · "&amp;INDEX(Tareas!$D$6:$D$205,MATCH(F$5&amp;"_"&amp;96,Tareas!$N$6:$N$205,0),1)&amp;CHAR(10)&amp;INDEX(Tareas!$C$6:$C$205,MATCH(F$5&amp;"_"&amp;96,Tareas!$N$6:$N$205,0),1)&amp;CHAR(10)&amp;INDEX(Tareas!$E$6:$E$205,MATCH(F$5&amp;"_"&amp;96,Tareas!$N$6:$N$205,0),1)&amp;CHAR(10)&amp;INDEX(Tareas!$O$6:$O$205,MATCH(F$5&amp;"_"&amp;96,Tareas!$N$6:$N$205,0),1))</x:f>
      </x:c>
    </x:row>
    <x:row r="102" ht="76" customHeight="1">
      <x:c r="A102" s="21" t="str">
        <x:f>IF(97&gt;A$4,"",INDEX(Tareas!$A$6:$A$205,MATCH(A$5&amp;"_"&amp;97,Tareas!$N$6:$N$205,0),1)&amp;" · "&amp;INDEX(Tareas!$D$6:$D$205,MATCH(A$5&amp;"_"&amp;97,Tareas!$N$6:$N$205,0),1)&amp;CHAR(10)&amp;INDEX(Tareas!$C$6:$C$205,MATCH(A$5&amp;"_"&amp;97,Tareas!$N$6:$N$205,0),1)&amp;CHAR(10)&amp;INDEX(Tareas!$E$6:$E$205,MATCH(A$5&amp;"_"&amp;97,Tareas!$N$6:$N$205,0),1)&amp;CHAR(10)&amp;INDEX(Tareas!$O$6:$O$205,MATCH(A$5&amp;"_"&amp;97,Tareas!$N$6:$N$205,0),1))</x:f>
      </x:c>
      <x:c r="B102" s="21" t="str">
        <x:f>IF(97&gt;B$4,"",INDEX(Tareas!$A$6:$A$205,MATCH(B$5&amp;"_"&amp;97,Tareas!$N$6:$N$205,0),1)&amp;" · "&amp;INDEX(Tareas!$D$6:$D$205,MATCH(B$5&amp;"_"&amp;97,Tareas!$N$6:$N$205,0),1)&amp;CHAR(10)&amp;INDEX(Tareas!$C$6:$C$205,MATCH(B$5&amp;"_"&amp;97,Tareas!$N$6:$N$205,0),1)&amp;CHAR(10)&amp;INDEX(Tareas!$E$6:$E$205,MATCH(B$5&amp;"_"&amp;97,Tareas!$N$6:$N$205,0),1)&amp;CHAR(10)&amp;INDEX(Tareas!$O$6:$O$205,MATCH(B$5&amp;"_"&amp;97,Tareas!$N$6:$N$205,0),1))</x:f>
      </x:c>
      <x:c r="C102" s="21" t="str">
        <x:f>IF(97&gt;C$4,"",INDEX(Tareas!$A$6:$A$205,MATCH(C$5&amp;"_"&amp;97,Tareas!$N$6:$N$205,0),1)&amp;" · "&amp;INDEX(Tareas!$D$6:$D$205,MATCH(C$5&amp;"_"&amp;97,Tareas!$N$6:$N$205,0),1)&amp;CHAR(10)&amp;INDEX(Tareas!$C$6:$C$205,MATCH(C$5&amp;"_"&amp;97,Tareas!$N$6:$N$205,0),1)&amp;CHAR(10)&amp;INDEX(Tareas!$E$6:$E$205,MATCH(C$5&amp;"_"&amp;97,Tareas!$N$6:$N$205,0),1)&amp;CHAR(10)&amp;INDEX(Tareas!$O$6:$O$205,MATCH(C$5&amp;"_"&amp;97,Tareas!$N$6:$N$205,0),1))</x:f>
      </x:c>
      <x:c r="D102" s="21" t="str">
        <x:f>IF(97&gt;D$4,"",INDEX(Tareas!$A$6:$A$205,MATCH(D$5&amp;"_"&amp;97,Tareas!$N$6:$N$205,0),1)&amp;" · "&amp;INDEX(Tareas!$D$6:$D$205,MATCH(D$5&amp;"_"&amp;97,Tareas!$N$6:$N$205,0),1)&amp;CHAR(10)&amp;INDEX(Tareas!$C$6:$C$205,MATCH(D$5&amp;"_"&amp;97,Tareas!$N$6:$N$205,0),1)&amp;CHAR(10)&amp;INDEX(Tareas!$E$6:$E$205,MATCH(D$5&amp;"_"&amp;97,Tareas!$N$6:$N$205,0),1)&amp;CHAR(10)&amp;INDEX(Tareas!$O$6:$O$205,MATCH(D$5&amp;"_"&amp;97,Tareas!$N$6:$N$205,0),1))</x:f>
      </x:c>
      <x:c r="E102" s="21" t="str">
        <x:f>IF(97&gt;E$4,"",INDEX(Tareas!$A$6:$A$205,MATCH(E$5&amp;"_"&amp;97,Tareas!$N$6:$N$205,0),1)&amp;" · "&amp;INDEX(Tareas!$D$6:$D$205,MATCH(E$5&amp;"_"&amp;97,Tareas!$N$6:$N$205,0),1)&amp;CHAR(10)&amp;INDEX(Tareas!$C$6:$C$205,MATCH(E$5&amp;"_"&amp;97,Tareas!$N$6:$N$205,0),1)&amp;CHAR(10)&amp;INDEX(Tareas!$E$6:$E$205,MATCH(E$5&amp;"_"&amp;97,Tareas!$N$6:$N$205,0),1)&amp;CHAR(10)&amp;INDEX(Tareas!$O$6:$O$205,MATCH(E$5&amp;"_"&amp;97,Tareas!$N$6:$N$205,0),1))</x:f>
      </x:c>
      <x:c r="F102" s="21" t="str">
        <x:f>IF(97&gt;F$4,"",INDEX(Tareas!$A$6:$A$205,MATCH(F$5&amp;"_"&amp;97,Tareas!$N$6:$N$205,0),1)&amp;" · "&amp;INDEX(Tareas!$D$6:$D$205,MATCH(F$5&amp;"_"&amp;97,Tareas!$N$6:$N$205,0),1)&amp;CHAR(10)&amp;INDEX(Tareas!$C$6:$C$205,MATCH(F$5&amp;"_"&amp;97,Tareas!$N$6:$N$205,0),1)&amp;CHAR(10)&amp;INDEX(Tareas!$E$6:$E$205,MATCH(F$5&amp;"_"&amp;97,Tareas!$N$6:$N$205,0),1)&amp;CHAR(10)&amp;INDEX(Tareas!$O$6:$O$205,MATCH(F$5&amp;"_"&amp;97,Tareas!$N$6:$N$205,0),1))</x:f>
      </x:c>
    </x:row>
    <x:row r="103" ht="76" customHeight="1">
      <x:c r="A103" s="21" t="str">
        <x:f>IF(98&gt;A$4,"",INDEX(Tareas!$A$6:$A$205,MATCH(A$5&amp;"_"&amp;98,Tareas!$N$6:$N$205,0),1)&amp;" · "&amp;INDEX(Tareas!$D$6:$D$205,MATCH(A$5&amp;"_"&amp;98,Tareas!$N$6:$N$205,0),1)&amp;CHAR(10)&amp;INDEX(Tareas!$C$6:$C$205,MATCH(A$5&amp;"_"&amp;98,Tareas!$N$6:$N$205,0),1)&amp;CHAR(10)&amp;INDEX(Tareas!$E$6:$E$205,MATCH(A$5&amp;"_"&amp;98,Tareas!$N$6:$N$205,0),1)&amp;CHAR(10)&amp;INDEX(Tareas!$O$6:$O$205,MATCH(A$5&amp;"_"&amp;98,Tareas!$N$6:$N$205,0),1))</x:f>
      </x:c>
      <x:c r="B103" s="21" t="str">
        <x:f>IF(98&gt;B$4,"",INDEX(Tareas!$A$6:$A$205,MATCH(B$5&amp;"_"&amp;98,Tareas!$N$6:$N$205,0),1)&amp;" · "&amp;INDEX(Tareas!$D$6:$D$205,MATCH(B$5&amp;"_"&amp;98,Tareas!$N$6:$N$205,0),1)&amp;CHAR(10)&amp;INDEX(Tareas!$C$6:$C$205,MATCH(B$5&amp;"_"&amp;98,Tareas!$N$6:$N$205,0),1)&amp;CHAR(10)&amp;INDEX(Tareas!$E$6:$E$205,MATCH(B$5&amp;"_"&amp;98,Tareas!$N$6:$N$205,0),1)&amp;CHAR(10)&amp;INDEX(Tareas!$O$6:$O$205,MATCH(B$5&amp;"_"&amp;98,Tareas!$N$6:$N$205,0),1))</x:f>
      </x:c>
      <x:c r="C103" s="21" t="str">
        <x:f>IF(98&gt;C$4,"",INDEX(Tareas!$A$6:$A$205,MATCH(C$5&amp;"_"&amp;98,Tareas!$N$6:$N$205,0),1)&amp;" · "&amp;INDEX(Tareas!$D$6:$D$205,MATCH(C$5&amp;"_"&amp;98,Tareas!$N$6:$N$205,0),1)&amp;CHAR(10)&amp;INDEX(Tareas!$C$6:$C$205,MATCH(C$5&amp;"_"&amp;98,Tareas!$N$6:$N$205,0),1)&amp;CHAR(10)&amp;INDEX(Tareas!$E$6:$E$205,MATCH(C$5&amp;"_"&amp;98,Tareas!$N$6:$N$205,0),1)&amp;CHAR(10)&amp;INDEX(Tareas!$O$6:$O$205,MATCH(C$5&amp;"_"&amp;98,Tareas!$N$6:$N$205,0),1))</x:f>
      </x:c>
      <x:c r="D103" s="21" t="str">
        <x:f>IF(98&gt;D$4,"",INDEX(Tareas!$A$6:$A$205,MATCH(D$5&amp;"_"&amp;98,Tareas!$N$6:$N$205,0),1)&amp;" · "&amp;INDEX(Tareas!$D$6:$D$205,MATCH(D$5&amp;"_"&amp;98,Tareas!$N$6:$N$205,0),1)&amp;CHAR(10)&amp;INDEX(Tareas!$C$6:$C$205,MATCH(D$5&amp;"_"&amp;98,Tareas!$N$6:$N$205,0),1)&amp;CHAR(10)&amp;INDEX(Tareas!$E$6:$E$205,MATCH(D$5&amp;"_"&amp;98,Tareas!$N$6:$N$205,0),1)&amp;CHAR(10)&amp;INDEX(Tareas!$O$6:$O$205,MATCH(D$5&amp;"_"&amp;98,Tareas!$N$6:$N$205,0),1))</x:f>
      </x:c>
      <x:c r="E103" s="21" t="str">
        <x:f>IF(98&gt;E$4,"",INDEX(Tareas!$A$6:$A$205,MATCH(E$5&amp;"_"&amp;98,Tareas!$N$6:$N$205,0),1)&amp;" · "&amp;INDEX(Tareas!$D$6:$D$205,MATCH(E$5&amp;"_"&amp;98,Tareas!$N$6:$N$205,0),1)&amp;CHAR(10)&amp;INDEX(Tareas!$C$6:$C$205,MATCH(E$5&amp;"_"&amp;98,Tareas!$N$6:$N$205,0),1)&amp;CHAR(10)&amp;INDEX(Tareas!$E$6:$E$205,MATCH(E$5&amp;"_"&amp;98,Tareas!$N$6:$N$205,0),1)&amp;CHAR(10)&amp;INDEX(Tareas!$O$6:$O$205,MATCH(E$5&amp;"_"&amp;98,Tareas!$N$6:$N$205,0),1))</x:f>
      </x:c>
      <x:c r="F103" s="21" t="str">
        <x:f>IF(98&gt;F$4,"",INDEX(Tareas!$A$6:$A$205,MATCH(F$5&amp;"_"&amp;98,Tareas!$N$6:$N$205,0),1)&amp;" · "&amp;INDEX(Tareas!$D$6:$D$205,MATCH(F$5&amp;"_"&amp;98,Tareas!$N$6:$N$205,0),1)&amp;CHAR(10)&amp;INDEX(Tareas!$C$6:$C$205,MATCH(F$5&amp;"_"&amp;98,Tareas!$N$6:$N$205,0),1)&amp;CHAR(10)&amp;INDEX(Tareas!$E$6:$E$205,MATCH(F$5&amp;"_"&amp;98,Tareas!$N$6:$N$205,0),1)&amp;CHAR(10)&amp;INDEX(Tareas!$O$6:$O$205,MATCH(F$5&amp;"_"&amp;98,Tareas!$N$6:$N$205,0),1))</x:f>
      </x:c>
    </x:row>
    <x:row r="104" ht="76" customHeight="1">
      <x:c r="A104" s="21" t="str">
        <x:f>IF(99&gt;A$4,"",INDEX(Tareas!$A$6:$A$205,MATCH(A$5&amp;"_"&amp;99,Tareas!$N$6:$N$205,0),1)&amp;" · "&amp;INDEX(Tareas!$D$6:$D$205,MATCH(A$5&amp;"_"&amp;99,Tareas!$N$6:$N$205,0),1)&amp;CHAR(10)&amp;INDEX(Tareas!$C$6:$C$205,MATCH(A$5&amp;"_"&amp;99,Tareas!$N$6:$N$205,0),1)&amp;CHAR(10)&amp;INDEX(Tareas!$E$6:$E$205,MATCH(A$5&amp;"_"&amp;99,Tareas!$N$6:$N$205,0),1)&amp;CHAR(10)&amp;INDEX(Tareas!$O$6:$O$205,MATCH(A$5&amp;"_"&amp;99,Tareas!$N$6:$N$205,0),1))</x:f>
      </x:c>
      <x:c r="B104" s="21" t="str">
        <x:f>IF(99&gt;B$4,"",INDEX(Tareas!$A$6:$A$205,MATCH(B$5&amp;"_"&amp;99,Tareas!$N$6:$N$205,0),1)&amp;" · "&amp;INDEX(Tareas!$D$6:$D$205,MATCH(B$5&amp;"_"&amp;99,Tareas!$N$6:$N$205,0),1)&amp;CHAR(10)&amp;INDEX(Tareas!$C$6:$C$205,MATCH(B$5&amp;"_"&amp;99,Tareas!$N$6:$N$205,0),1)&amp;CHAR(10)&amp;INDEX(Tareas!$E$6:$E$205,MATCH(B$5&amp;"_"&amp;99,Tareas!$N$6:$N$205,0),1)&amp;CHAR(10)&amp;INDEX(Tareas!$O$6:$O$205,MATCH(B$5&amp;"_"&amp;99,Tareas!$N$6:$N$205,0),1))</x:f>
      </x:c>
      <x:c r="C104" s="21" t="str">
        <x:f>IF(99&gt;C$4,"",INDEX(Tareas!$A$6:$A$205,MATCH(C$5&amp;"_"&amp;99,Tareas!$N$6:$N$205,0),1)&amp;" · "&amp;INDEX(Tareas!$D$6:$D$205,MATCH(C$5&amp;"_"&amp;99,Tareas!$N$6:$N$205,0),1)&amp;CHAR(10)&amp;INDEX(Tareas!$C$6:$C$205,MATCH(C$5&amp;"_"&amp;99,Tareas!$N$6:$N$205,0),1)&amp;CHAR(10)&amp;INDEX(Tareas!$E$6:$E$205,MATCH(C$5&amp;"_"&amp;99,Tareas!$N$6:$N$205,0),1)&amp;CHAR(10)&amp;INDEX(Tareas!$O$6:$O$205,MATCH(C$5&amp;"_"&amp;99,Tareas!$N$6:$N$205,0),1))</x:f>
      </x:c>
      <x:c r="D104" s="21" t="str">
        <x:f>IF(99&gt;D$4,"",INDEX(Tareas!$A$6:$A$205,MATCH(D$5&amp;"_"&amp;99,Tareas!$N$6:$N$205,0),1)&amp;" · "&amp;INDEX(Tareas!$D$6:$D$205,MATCH(D$5&amp;"_"&amp;99,Tareas!$N$6:$N$205,0),1)&amp;CHAR(10)&amp;INDEX(Tareas!$C$6:$C$205,MATCH(D$5&amp;"_"&amp;99,Tareas!$N$6:$N$205,0),1)&amp;CHAR(10)&amp;INDEX(Tareas!$E$6:$E$205,MATCH(D$5&amp;"_"&amp;99,Tareas!$N$6:$N$205,0),1)&amp;CHAR(10)&amp;INDEX(Tareas!$O$6:$O$205,MATCH(D$5&amp;"_"&amp;99,Tareas!$N$6:$N$205,0),1))</x:f>
      </x:c>
      <x:c r="E104" s="21" t="str">
        <x:f>IF(99&gt;E$4,"",INDEX(Tareas!$A$6:$A$205,MATCH(E$5&amp;"_"&amp;99,Tareas!$N$6:$N$205,0),1)&amp;" · "&amp;INDEX(Tareas!$D$6:$D$205,MATCH(E$5&amp;"_"&amp;99,Tareas!$N$6:$N$205,0),1)&amp;CHAR(10)&amp;INDEX(Tareas!$C$6:$C$205,MATCH(E$5&amp;"_"&amp;99,Tareas!$N$6:$N$205,0),1)&amp;CHAR(10)&amp;INDEX(Tareas!$E$6:$E$205,MATCH(E$5&amp;"_"&amp;99,Tareas!$N$6:$N$205,0),1)&amp;CHAR(10)&amp;INDEX(Tareas!$O$6:$O$205,MATCH(E$5&amp;"_"&amp;99,Tareas!$N$6:$N$205,0),1))</x:f>
      </x:c>
      <x:c r="F104" s="21" t="str">
        <x:f>IF(99&gt;F$4,"",INDEX(Tareas!$A$6:$A$205,MATCH(F$5&amp;"_"&amp;99,Tareas!$N$6:$N$205,0),1)&amp;" · "&amp;INDEX(Tareas!$D$6:$D$205,MATCH(F$5&amp;"_"&amp;99,Tareas!$N$6:$N$205,0),1)&amp;CHAR(10)&amp;INDEX(Tareas!$C$6:$C$205,MATCH(F$5&amp;"_"&amp;99,Tareas!$N$6:$N$205,0),1)&amp;CHAR(10)&amp;INDEX(Tareas!$E$6:$E$205,MATCH(F$5&amp;"_"&amp;99,Tareas!$N$6:$N$205,0),1)&amp;CHAR(10)&amp;INDEX(Tareas!$O$6:$O$205,MATCH(F$5&amp;"_"&amp;99,Tareas!$N$6:$N$205,0),1))</x:f>
      </x:c>
    </x:row>
    <x:row r="105" ht="76" customHeight="1">
      <x:c r="A105" s="21" t="str">
        <x:f>IF(100&gt;A$4,"",INDEX(Tareas!$A$6:$A$205,MATCH(A$5&amp;"_"&amp;100,Tareas!$N$6:$N$205,0),1)&amp;" · "&amp;INDEX(Tareas!$D$6:$D$205,MATCH(A$5&amp;"_"&amp;100,Tareas!$N$6:$N$205,0),1)&amp;CHAR(10)&amp;INDEX(Tareas!$C$6:$C$205,MATCH(A$5&amp;"_"&amp;100,Tareas!$N$6:$N$205,0),1)&amp;CHAR(10)&amp;INDEX(Tareas!$E$6:$E$205,MATCH(A$5&amp;"_"&amp;100,Tareas!$N$6:$N$205,0),1)&amp;CHAR(10)&amp;INDEX(Tareas!$O$6:$O$205,MATCH(A$5&amp;"_"&amp;100,Tareas!$N$6:$N$205,0),1))</x:f>
      </x:c>
      <x:c r="B105" s="21" t="str">
        <x:f>IF(100&gt;B$4,"",INDEX(Tareas!$A$6:$A$205,MATCH(B$5&amp;"_"&amp;100,Tareas!$N$6:$N$205,0),1)&amp;" · "&amp;INDEX(Tareas!$D$6:$D$205,MATCH(B$5&amp;"_"&amp;100,Tareas!$N$6:$N$205,0),1)&amp;CHAR(10)&amp;INDEX(Tareas!$C$6:$C$205,MATCH(B$5&amp;"_"&amp;100,Tareas!$N$6:$N$205,0),1)&amp;CHAR(10)&amp;INDEX(Tareas!$E$6:$E$205,MATCH(B$5&amp;"_"&amp;100,Tareas!$N$6:$N$205,0),1)&amp;CHAR(10)&amp;INDEX(Tareas!$O$6:$O$205,MATCH(B$5&amp;"_"&amp;100,Tareas!$N$6:$N$205,0),1))</x:f>
      </x:c>
      <x:c r="C105" s="21" t="str">
        <x:f>IF(100&gt;C$4,"",INDEX(Tareas!$A$6:$A$205,MATCH(C$5&amp;"_"&amp;100,Tareas!$N$6:$N$205,0),1)&amp;" · "&amp;INDEX(Tareas!$D$6:$D$205,MATCH(C$5&amp;"_"&amp;100,Tareas!$N$6:$N$205,0),1)&amp;CHAR(10)&amp;INDEX(Tareas!$C$6:$C$205,MATCH(C$5&amp;"_"&amp;100,Tareas!$N$6:$N$205,0),1)&amp;CHAR(10)&amp;INDEX(Tareas!$E$6:$E$205,MATCH(C$5&amp;"_"&amp;100,Tareas!$N$6:$N$205,0),1)&amp;CHAR(10)&amp;INDEX(Tareas!$O$6:$O$205,MATCH(C$5&amp;"_"&amp;100,Tareas!$N$6:$N$205,0),1))</x:f>
      </x:c>
      <x:c r="D105" s="21" t="str">
        <x:f>IF(100&gt;D$4,"",INDEX(Tareas!$A$6:$A$205,MATCH(D$5&amp;"_"&amp;100,Tareas!$N$6:$N$205,0),1)&amp;" · "&amp;INDEX(Tareas!$D$6:$D$205,MATCH(D$5&amp;"_"&amp;100,Tareas!$N$6:$N$205,0),1)&amp;CHAR(10)&amp;INDEX(Tareas!$C$6:$C$205,MATCH(D$5&amp;"_"&amp;100,Tareas!$N$6:$N$205,0),1)&amp;CHAR(10)&amp;INDEX(Tareas!$E$6:$E$205,MATCH(D$5&amp;"_"&amp;100,Tareas!$N$6:$N$205,0),1)&amp;CHAR(10)&amp;INDEX(Tareas!$O$6:$O$205,MATCH(D$5&amp;"_"&amp;100,Tareas!$N$6:$N$205,0),1))</x:f>
      </x:c>
      <x:c r="E105" s="21" t="str">
        <x:f>IF(100&gt;E$4,"",INDEX(Tareas!$A$6:$A$205,MATCH(E$5&amp;"_"&amp;100,Tareas!$N$6:$N$205,0),1)&amp;" · "&amp;INDEX(Tareas!$D$6:$D$205,MATCH(E$5&amp;"_"&amp;100,Tareas!$N$6:$N$205,0),1)&amp;CHAR(10)&amp;INDEX(Tareas!$C$6:$C$205,MATCH(E$5&amp;"_"&amp;100,Tareas!$N$6:$N$205,0),1)&amp;CHAR(10)&amp;INDEX(Tareas!$E$6:$E$205,MATCH(E$5&amp;"_"&amp;100,Tareas!$N$6:$N$205,0),1)&amp;CHAR(10)&amp;INDEX(Tareas!$O$6:$O$205,MATCH(E$5&amp;"_"&amp;100,Tareas!$N$6:$N$205,0),1))</x:f>
      </x:c>
      <x:c r="F105" s="21" t="str">
        <x:f>IF(100&gt;F$4,"",INDEX(Tareas!$A$6:$A$205,MATCH(F$5&amp;"_"&amp;100,Tareas!$N$6:$N$205,0),1)&amp;" · "&amp;INDEX(Tareas!$D$6:$D$205,MATCH(F$5&amp;"_"&amp;100,Tareas!$N$6:$N$205,0),1)&amp;CHAR(10)&amp;INDEX(Tareas!$C$6:$C$205,MATCH(F$5&amp;"_"&amp;100,Tareas!$N$6:$N$205,0),1)&amp;CHAR(10)&amp;INDEX(Tareas!$E$6:$E$205,MATCH(F$5&amp;"_"&amp;100,Tareas!$N$6:$N$205,0),1)&amp;CHAR(10)&amp;INDEX(Tareas!$O$6:$O$205,MATCH(F$5&amp;"_"&amp;100,Tareas!$N$6:$N$205,0),1))</x:f>
      </x:c>
    </x:row>
    <x:row r="106" ht="76" customHeight="1">
      <x:c r="A106" s="21" t="str">
        <x:f>IF(101&gt;A$4,"",INDEX(Tareas!$A$6:$A$205,MATCH(A$5&amp;"_"&amp;101,Tareas!$N$6:$N$205,0),1)&amp;" · "&amp;INDEX(Tareas!$D$6:$D$205,MATCH(A$5&amp;"_"&amp;101,Tareas!$N$6:$N$205,0),1)&amp;CHAR(10)&amp;INDEX(Tareas!$C$6:$C$205,MATCH(A$5&amp;"_"&amp;101,Tareas!$N$6:$N$205,0),1)&amp;CHAR(10)&amp;INDEX(Tareas!$E$6:$E$205,MATCH(A$5&amp;"_"&amp;101,Tareas!$N$6:$N$205,0),1)&amp;CHAR(10)&amp;INDEX(Tareas!$O$6:$O$205,MATCH(A$5&amp;"_"&amp;101,Tareas!$N$6:$N$205,0),1))</x:f>
      </x:c>
      <x:c r="B106" s="21" t="str">
        <x:f>IF(101&gt;B$4,"",INDEX(Tareas!$A$6:$A$205,MATCH(B$5&amp;"_"&amp;101,Tareas!$N$6:$N$205,0),1)&amp;" · "&amp;INDEX(Tareas!$D$6:$D$205,MATCH(B$5&amp;"_"&amp;101,Tareas!$N$6:$N$205,0),1)&amp;CHAR(10)&amp;INDEX(Tareas!$C$6:$C$205,MATCH(B$5&amp;"_"&amp;101,Tareas!$N$6:$N$205,0),1)&amp;CHAR(10)&amp;INDEX(Tareas!$E$6:$E$205,MATCH(B$5&amp;"_"&amp;101,Tareas!$N$6:$N$205,0),1)&amp;CHAR(10)&amp;INDEX(Tareas!$O$6:$O$205,MATCH(B$5&amp;"_"&amp;101,Tareas!$N$6:$N$205,0),1))</x:f>
      </x:c>
      <x:c r="C106" s="21" t="str">
        <x:f>IF(101&gt;C$4,"",INDEX(Tareas!$A$6:$A$205,MATCH(C$5&amp;"_"&amp;101,Tareas!$N$6:$N$205,0),1)&amp;" · "&amp;INDEX(Tareas!$D$6:$D$205,MATCH(C$5&amp;"_"&amp;101,Tareas!$N$6:$N$205,0),1)&amp;CHAR(10)&amp;INDEX(Tareas!$C$6:$C$205,MATCH(C$5&amp;"_"&amp;101,Tareas!$N$6:$N$205,0),1)&amp;CHAR(10)&amp;INDEX(Tareas!$E$6:$E$205,MATCH(C$5&amp;"_"&amp;101,Tareas!$N$6:$N$205,0),1)&amp;CHAR(10)&amp;INDEX(Tareas!$O$6:$O$205,MATCH(C$5&amp;"_"&amp;101,Tareas!$N$6:$N$205,0),1))</x:f>
      </x:c>
      <x:c r="D106" s="21" t="str">
        <x:f>IF(101&gt;D$4,"",INDEX(Tareas!$A$6:$A$205,MATCH(D$5&amp;"_"&amp;101,Tareas!$N$6:$N$205,0),1)&amp;" · "&amp;INDEX(Tareas!$D$6:$D$205,MATCH(D$5&amp;"_"&amp;101,Tareas!$N$6:$N$205,0),1)&amp;CHAR(10)&amp;INDEX(Tareas!$C$6:$C$205,MATCH(D$5&amp;"_"&amp;101,Tareas!$N$6:$N$205,0),1)&amp;CHAR(10)&amp;INDEX(Tareas!$E$6:$E$205,MATCH(D$5&amp;"_"&amp;101,Tareas!$N$6:$N$205,0),1)&amp;CHAR(10)&amp;INDEX(Tareas!$O$6:$O$205,MATCH(D$5&amp;"_"&amp;101,Tareas!$N$6:$N$205,0),1))</x:f>
      </x:c>
      <x:c r="E106" s="21" t="str">
        <x:f>IF(101&gt;E$4,"",INDEX(Tareas!$A$6:$A$205,MATCH(E$5&amp;"_"&amp;101,Tareas!$N$6:$N$205,0),1)&amp;" · "&amp;INDEX(Tareas!$D$6:$D$205,MATCH(E$5&amp;"_"&amp;101,Tareas!$N$6:$N$205,0),1)&amp;CHAR(10)&amp;INDEX(Tareas!$C$6:$C$205,MATCH(E$5&amp;"_"&amp;101,Tareas!$N$6:$N$205,0),1)&amp;CHAR(10)&amp;INDEX(Tareas!$E$6:$E$205,MATCH(E$5&amp;"_"&amp;101,Tareas!$N$6:$N$205,0),1)&amp;CHAR(10)&amp;INDEX(Tareas!$O$6:$O$205,MATCH(E$5&amp;"_"&amp;101,Tareas!$N$6:$N$205,0),1))</x:f>
      </x:c>
      <x:c r="F106" s="21" t="str">
        <x:f>IF(101&gt;F$4,"",INDEX(Tareas!$A$6:$A$205,MATCH(F$5&amp;"_"&amp;101,Tareas!$N$6:$N$205,0),1)&amp;" · "&amp;INDEX(Tareas!$D$6:$D$205,MATCH(F$5&amp;"_"&amp;101,Tareas!$N$6:$N$205,0),1)&amp;CHAR(10)&amp;INDEX(Tareas!$C$6:$C$205,MATCH(F$5&amp;"_"&amp;101,Tareas!$N$6:$N$205,0),1)&amp;CHAR(10)&amp;INDEX(Tareas!$E$6:$E$205,MATCH(F$5&amp;"_"&amp;101,Tareas!$N$6:$N$205,0),1)&amp;CHAR(10)&amp;INDEX(Tareas!$O$6:$O$205,MATCH(F$5&amp;"_"&amp;101,Tareas!$N$6:$N$205,0),1))</x:f>
      </x:c>
    </x:row>
    <x:row r="107" ht="76" customHeight="1">
      <x:c r="A107" s="21" t="str">
        <x:f>IF(102&gt;A$4,"",INDEX(Tareas!$A$6:$A$205,MATCH(A$5&amp;"_"&amp;102,Tareas!$N$6:$N$205,0),1)&amp;" · "&amp;INDEX(Tareas!$D$6:$D$205,MATCH(A$5&amp;"_"&amp;102,Tareas!$N$6:$N$205,0),1)&amp;CHAR(10)&amp;INDEX(Tareas!$C$6:$C$205,MATCH(A$5&amp;"_"&amp;102,Tareas!$N$6:$N$205,0),1)&amp;CHAR(10)&amp;INDEX(Tareas!$E$6:$E$205,MATCH(A$5&amp;"_"&amp;102,Tareas!$N$6:$N$205,0),1)&amp;CHAR(10)&amp;INDEX(Tareas!$O$6:$O$205,MATCH(A$5&amp;"_"&amp;102,Tareas!$N$6:$N$205,0),1))</x:f>
      </x:c>
      <x:c r="B107" s="21" t="str">
        <x:f>IF(102&gt;B$4,"",INDEX(Tareas!$A$6:$A$205,MATCH(B$5&amp;"_"&amp;102,Tareas!$N$6:$N$205,0),1)&amp;" · "&amp;INDEX(Tareas!$D$6:$D$205,MATCH(B$5&amp;"_"&amp;102,Tareas!$N$6:$N$205,0),1)&amp;CHAR(10)&amp;INDEX(Tareas!$C$6:$C$205,MATCH(B$5&amp;"_"&amp;102,Tareas!$N$6:$N$205,0),1)&amp;CHAR(10)&amp;INDEX(Tareas!$E$6:$E$205,MATCH(B$5&amp;"_"&amp;102,Tareas!$N$6:$N$205,0),1)&amp;CHAR(10)&amp;INDEX(Tareas!$O$6:$O$205,MATCH(B$5&amp;"_"&amp;102,Tareas!$N$6:$N$205,0),1))</x:f>
      </x:c>
      <x:c r="C107" s="21" t="str">
        <x:f>IF(102&gt;C$4,"",INDEX(Tareas!$A$6:$A$205,MATCH(C$5&amp;"_"&amp;102,Tareas!$N$6:$N$205,0),1)&amp;" · "&amp;INDEX(Tareas!$D$6:$D$205,MATCH(C$5&amp;"_"&amp;102,Tareas!$N$6:$N$205,0),1)&amp;CHAR(10)&amp;INDEX(Tareas!$C$6:$C$205,MATCH(C$5&amp;"_"&amp;102,Tareas!$N$6:$N$205,0),1)&amp;CHAR(10)&amp;INDEX(Tareas!$E$6:$E$205,MATCH(C$5&amp;"_"&amp;102,Tareas!$N$6:$N$205,0),1)&amp;CHAR(10)&amp;INDEX(Tareas!$O$6:$O$205,MATCH(C$5&amp;"_"&amp;102,Tareas!$N$6:$N$205,0),1))</x:f>
      </x:c>
      <x:c r="D107" s="21" t="str">
        <x:f>IF(102&gt;D$4,"",INDEX(Tareas!$A$6:$A$205,MATCH(D$5&amp;"_"&amp;102,Tareas!$N$6:$N$205,0),1)&amp;" · "&amp;INDEX(Tareas!$D$6:$D$205,MATCH(D$5&amp;"_"&amp;102,Tareas!$N$6:$N$205,0),1)&amp;CHAR(10)&amp;INDEX(Tareas!$C$6:$C$205,MATCH(D$5&amp;"_"&amp;102,Tareas!$N$6:$N$205,0),1)&amp;CHAR(10)&amp;INDEX(Tareas!$E$6:$E$205,MATCH(D$5&amp;"_"&amp;102,Tareas!$N$6:$N$205,0),1)&amp;CHAR(10)&amp;INDEX(Tareas!$O$6:$O$205,MATCH(D$5&amp;"_"&amp;102,Tareas!$N$6:$N$205,0),1))</x:f>
      </x:c>
      <x:c r="E107" s="21" t="str">
        <x:f>IF(102&gt;E$4,"",INDEX(Tareas!$A$6:$A$205,MATCH(E$5&amp;"_"&amp;102,Tareas!$N$6:$N$205,0),1)&amp;" · "&amp;INDEX(Tareas!$D$6:$D$205,MATCH(E$5&amp;"_"&amp;102,Tareas!$N$6:$N$205,0),1)&amp;CHAR(10)&amp;INDEX(Tareas!$C$6:$C$205,MATCH(E$5&amp;"_"&amp;102,Tareas!$N$6:$N$205,0),1)&amp;CHAR(10)&amp;INDEX(Tareas!$E$6:$E$205,MATCH(E$5&amp;"_"&amp;102,Tareas!$N$6:$N$205,0),1)&amp;CHAR(10)&amp;INDEX(Tareas!$O$6:$O$205,MATCH(E$5&amp;"_"&amp;102,Tareas!$N$6:$N$205,0),1))</x:f>
      </x:c>
      <x:c r="F107" s="21" t="str">
        <x:f>IF(102&gt;F$4,"",INDEX(Tareas!$A$6:$A$205,MATCH(F$5&amp;"_"&amp;102,Tareas!$N$6:$N$205,0),1)&amp;" · "&amp;INDEX(Tareas!$D$6:$D$205,MATCH(F$5&amp;"_"&amp;102,Tareas!$N$6:$N$205,0),1)&amp;CHAR(10)&amp;INDEX(Tareas!$C$6:$C$205,MATCH(F$5&amp;"_"&amp;102,Tareas!$N$6:$N$205,0),1)&amp;CHAR(10)&amp;INDEX(Tareas!$E$6:$E$205,MATCH(F$5&amp;"_"&amp;102,Tareas!$N$6:$N$205,0),1)&amp;CHAR(10)&amp;INDEX(Tareas!$O$6:$O$205,MATCH(F$5&amp;"_"&amp;102,Tareas!$N$6:$N$205,0),1))</x:f>
      </x:c>
    </x:row>
    <x:row r="108" ht="76" customHeight="1">
      <x:c r="A108" s="21" t="str">
        <x:f>IF(103&gt;A$4,"",INDEX(Tareas!$A$6:$A$205,MATCH(A$5&amp;"_"&amp;103,Tareas!$N$6:$N$205,0),1)&amp;" · "&amp;INDEX(Tareas!$D$6:$D$205,MATCH(A$5&amp;"_"&amp;103,Tareas!$N$6:$N$205,0),1)&amp;CHAR(10)&amp;INDEX(Tareas!$C$6:$C$205,MATCH(A$5&amp;"_"&amp;103,Tareas!$N$6:$N$205,0),1)&amp;CHAR(10)&amp;INDEX(Tareas!$E$6:$E$205,MATCH(A$5&amp;"_"&amp;103,Tareas!$N$6:$N$205,0),1)&amp;CHAR(10)&amp;INDEX(Tareas!$O$6:$O$205,MATCH(A$5&amp;"_"&amp;103,Tareas!$N$6:$N$205,0),1))</x:f>
      </x:c>
      <x:c r="B108" s="21" t="str">
        <x:f>IF(103&gt;B$4,"",INDEX(Tareas!$A$6:$A$205,MATCH(B$5&amp;"_"&amp;103,Tareas!$N$6:$N$205,0),1)&amp;" · "&amp;INDEX(Tareas!$D$6:$D$205,MATCH(B$5&amp;"_"&amp;103,Tareas!$N$6:$N$205,0),1)&amp;CHAR(10)&amp;INDEX(Tareas!$C$6:$C$205,MATCH(B$5&amp;"_"&amp;103,Tareas!$N$6:$N$205,0),1)&amp;CHAR(10)&amp;INDEX(Tareas!$E$6:$E$205,MATCH(B$5&amp;"_"&amp;103,Tareas!$N$6:$N$205,0),1)&amp;CHAR(10)&amp;INDEX(Tareas!$O$6:$O$205,MATCH(B$5&amp;"_"&amp;103,Tareas!$N$6:$N$205,0),1))</x:f>
      </x:c>
      <x:c r="C108" s="21" t="str">
        <x:f>IF(103&gt;C$4,"",INDEX(Tareas!$A$6:$A$205,MATCH(C$5&amp;"_"&amp;103,Tareas!$N$6:$N$205,0),1)&amp;" · "&amp;INDEX(Tareas!$D$6:$D$205,MATCH(C$5&amp;"_"&amp;103,Tareas!$N$6:$N$205,0),1)&amp;CHAR(10)&amp;INDEX(Tareas!$C$6:$C$205,MATCH(C$5&amp;"_"&amp;103,Tareas!$N$6:$N$205,0),1)&amp;CHAR(10)&amp;INDEX(Tareas!$E$6:$E$205,MATCH(C$5&amp;"_"&amp;103,Tareas!$N$6:$N$205,0),1)&amp;CHAR(10)&amp;INDEX(Tareas!$O$6:$O$205,MATCH(C$5&amp;"_"&amp;103,Tareas!$N$6:$N$205,0),1))</x:f>
      </x:c>
      <x:c r="D108" s="21" t="str">
        <x:f>IF(103&gt;D$4,"",INDEX(Tareas!$A$6:$A$205,MATCH(D$5&amp;"_"&amp;103,Tareas!$N$6:$N$205,0),1)&amp;" · "&amp;INDEX(Tareas!$D$6:$D$205,MATCH(D$5&amp;"_"&amp;103,Tareas!$N$6:$N$205,0),1)&amp;CHAR(10)&amp;INDEX(Tareas!$C$6:$C$205,MATCH(D$5&amp;"_"&amp;103,Tareas!$N$6:$N$205,0),1)&amp;CHAR(10)&amp;INDEX(Tareas!$E$6:$E$205,MATCH(D$5&amp;"_"&amp;103,Tareas!$N$6:$N$205,0),1)&amp;CHAR(10)&amp;INDEX(Tareas!$O$6:$O$205,MATCH(D$5&amp;"_"&amp;103,Tareas!$N$6:$N$205,0),1))</x:f>
      </x:c>
      <x:c r="E108" s="21" t="str">
        <x:f>IF(103&gt;E$4,"",INDEX(Tareas!$A$6:$A$205,MATCH(E$5&amp;"_"&amp;103,Tareas!$N$6:$N$205,0),1)&amp;" · "&amp;INDEX(Tareas!$D$6:$D$205,MATCH(E$5&amp;"_"&amp;103,Tareas!$N$6:$N$205,0),1)&amp;CHAR(10)&amp;INDEX(Tareas!$C$6:$C$205,MATCH(E$5&amp;"_"&amp;103,Tareas!$N$6:$N$205,0),1)&amp;CHAR(10)&amp;INDEX(Tareas!$E$6:$E$205,MATCH(E$5&amp;"_"&amp;103,Tareas!$N$6:$N$205,0),1)&amp;CHAR(10)&amp;INDEX(Tareas!$O$6:$O$205,MATCH(E$5&amp;"_"&amp;103,Tareas!$N$6:$N$205,0),1))</x:f>
      </x:c>
      <x:c r="F108" s="21" t="str">
        <x:f>IF(103&gt;F$4,"",INDEX(Tareas!$A$6:$A$205,MATCH(F$5&amp;"_"&amp;103,Tareas!$N$6:$N$205,0),1)&amp;" · "&amp;INDEX(Tareas!$D$6:$D$205,MATCH(F$5&amp;"_"&amp;103,Tareas!$N$6:$N$205,0),1)&amp;CHAR(10)&amp;INDEX(Tareas!$C$6:$C$205,MATCH(F$5&amp;"_"&amp;103,Tareas!$N$6:$N$205,0),1)&amp;CHAR(10)&amp;INDEX(Tareas!$E$6:$E$205,MATCH(F$5&amp;"_"&amp;103,Tareas!$N$6:$N$205,0),1)&amp;CHAR(10)&amp;INDEX(Tareas!$O$6:$O$205,MATCH(F$5&amp;"_"&amp;103,Tareas!$N$6:$N$205,0),1))</x:f>
      </x:c>
    </x:row>
    <x:row r="109" ht="76" customHeight="1">
      <x:c r="A109" s="21" t="str">
        <x:f>IF(104&gt;A$4,"",INDEX(Tareas!$A$6:$A$205,MATCH(A$5&amp;"_"&amp;104,Tareas!$N$6:$N$205,0),1)&amp;" · "&amp;INDEX(Tareas!$D$6:$D$205,MATCH(A$5&amp;"_"&amp;104,Tareas!$N$6:$N$205,0),1)&amp;CHAR(10)&amp;INDEX(Tareas!$C$6:$C$205,MATCH(A$5&amp;"_"&amp;104,Tareas!$N$6:$N$205,0),1)&amp;CHAR(10)&amp;INDEX(Tareas!$E$6:$E$205,MATCH(A$5&amp;"_"&amp;104,Tareas!$N$6:$N$205,0),1)&amp;CHAR(10)&amp;INDEX(Tareas!$O$6:$O$205,MATCH(A$5&amp;"_"&amp;104,Tareas!$N$6:$N$205,0),1))</x:f>
      </x:c>
      <x:c r="B109" s="21" t="str">
        <x:f>IF(104&gt;B$4,"",INDEX(Tareas!$A$6:$A$205,MATCH(B$5&amp;"_"&amp;104,Tareas!$N$6:$N$205,0),1)&amp;" · "&amp;INDEX(Tareas!$D$6:$D$205,MATCH(B$5&amp;"_"&amp;104,Tareas!$N$6:$N$205,0),1)&amp;CHAR(10)&amp;INDEX(Tareas!$C$6:$C$205,MATCH(B$5&amp;"_"&amp;104,Tareas!$N$6:$N$205,0),1)&amp;CHAR(10)&amp;INDEX(Tareas!$E$6:$E$205,MATCH(B$5&amp;"_"&amp;104,Tareas!$N$6:$N$205,0),1)&amp;CHAR(10)&amp;INDEX(Tareas!$O$6:$O$205,MATCH(B$5&amp;"_"&amp;104,Tareas!$N$6:$N$205,0),1))</x:f>
      </x:c>
      <x:c r="C109" s="21" t="str">
        <x:f>IF(104&gt;C$4,"",INDEX(Tareas!$A$6:$A$205,MATCH(C$5&amp;"_"&amp;104,Tareas!$N$6:$N$205,0),1)&amp;" · "&amp;INDEX(Tareas!$D$6:$D$205,MATCH(C$5&amp;"_"&amp;104,Tareas!$N$6:$N$205,0),1)&amp;CHAR(10)&amp;INDEX(Tareas!$C$6:$C$205,MATCH(C$5&amp;"_"&amp;104,Tareas!$N$6:$N$205,0),1)&amp;CHAR(10)&amp;INDEX(Tareas!$E$6:$E$205,MATCH(C$5&amp;"_"&amp;104,Tareas!$N$6:$N$205,0),1)&amp;CHAR(10)&amp;INDEX(Tareas!$O$6:$O$205,MATCH(C$5&amp;"_"&amp;104,Tareas!$N$6:$N$205,0),1))</x:f>
      </x:c>
      <x:c r="D109" s="21" t="str">
        <x:f>IF(104&gt;D$4,"",INDEX(Tareas!$A$6:$A$205,MATCH(D$5&amp;"_"&amp;104,Tareas!$N$6:$N$205,0),1)&amp;" · "&amp;INDEX(Tareas!$D$6:$D$205,MATCH(D$5&amp;"_"&amp;104,Tareas!$N$6:$N$205,0),1)&amp;CHAR(10)&amp;INDEX(Tareas!$C$6:$C$205,MATCH(D$5&amp;"_"&amp;104,Tareas!$N$6:$N$205,0),1)&amp;CHAR(10)&amp;INDEX(Tareas!$E$6:$E$205,MATCH(D$5&amp;"_"&amp;104,Tareas!$N$6:$N$205,0),1)&amp;CHAR(10)&amp;INDEX(Tareas!$O$6:$O$205,MATCH(D$5&amp;"_"&amp;104,Tareas!$N$6:$N$205,0),1))</x:f>
      </x:c>
      <x:c r="E109" s="21" t="str">
        <x:f>IF(104&gt;E$4,"",INDEX(Tareas!$A$6:$A$205,MATCH(E$5&amp;"_"&amp;104,Tareas!$N$6:$N$205,0),1)&amp;" · "&amp;INDEX(Tareas!$D$6:$D$205,MATCH(E$5&amp;"_"&amp;104,Tareas!$N$6:$N$205,0),1)&amp;CHAR(10)&amp;INDEX(Tareas!$C$6:$C$205,MATCH(E$5&amp;"_"&amp;104,Tareas!$N$6:$N$205,0),1)&amp;CHAR(10)&amp;INDEX(Tareas!$E$6:$E$205,MATCH(E$5&amp;"_"&amp;104,Tareas!$N$6:$N$205,0),1)&amp;CHAR(10)&amp;INDEX(Tareas!$O$6:$O$205,MATCH(E$5&amp;"_"&amp;104,Tareas!$N$6:$N$205,0),1))</x:f>
      </x:c>
      <x:c r="F109" s="21" t="str">
        <x:f>IF(104&gt;F$4,"",INDEX(Tareas!$A$6:$A$205,MATCH(F$5&amp;"_"&amp;104,Tareas!$N$6:$N$205,0),1)&amp;" · "&amp;INDEX(Tareas!$D$6:$D$205,MATCH(F$5&amp;"_"&amp;104,Tareas!$N$6:$N$205,0),1)&amp;CHAR(10)&amp;INDEX(Tareas!$C$6:$C$205,MATCH(F$5&amp;"_"&amp;104,Tareas!$N$6:$N$205,0),1)&amp;CHAR(10)&amp;INDEX(Tareas!$E$6:$E$205,MATCH(F$5&amp;"_"&amp;104,Tareas!$N$6:$N$205,0),1)&amp;CHAR(10)&amp;INDEX(Tareas!$O$6:$O$205,MATCH(F$5&amp;"_"&amp;104,Tareas!$N$6:$N$205,0),1))</x:f>
      </x:c>
    </x:row>
    <x:row r="110" ht="76" customHeight="1">
      <x:c r="A110" s="21" t="str">
        <x:f>IF(105&gt;A$4,"",INDEX(Tareas!$A$6:$A$205,MATCH(A$5&amp;"_"&amp;105,Tareas!$N$6:$N$205,0),1)&amp;" · "&amp;INDEX(Tareas!$D$6:$D$205,MATCH(A$5&amp;"_"&amp;105,Tareas!$N$6:$N$205,0),1)&amp;CHAR(10)&amp;INDEX(Tareas!$C$6:$C$205,MATCH(A$5&amp;"_"&amp;105,Tareas!$N$6:$N$205,0),1)&amp;CHAR(10)&amp;INDEX(Tareas!$E$6:$E$205,MATCH(A$5&amp;"_"&amp;105,Tareas!$N$6:$N$205,0),1)&amp;CHAR(10)&amp;INDEX(Tareas!$O$6:$O$205,MATCH(A$5&amp;"_"&amp;105,Tareas!$N$6:$N$205,0),1))</x:f>
      </x:c>
      <x:c r="B110" s="21" t="str">
        <x:f>IF(105&gt;B$4,"",INDEX(Tareas!$A$6:$A$205,MATCH(B$5&amp;"_"&amp;105,Tareas!$N$6:$N$205,0),1)&amp;" · "&amp;INDEX(Tareas!$D$6:$D$205,MATCH(B$5&amp;"_"&amp;105,Tareas!$N$6:$N$205,0),1)&amp;CHAR(10)&amp;INDEX(Tareas!$C$6:$C$205,MATCH(B$5&amp;"_"&amp;105,Tareas!$N$6:$N$205,0),1)&amp;CHAR(10)&amp;INDEX(Tareas!$E$6:$E$205,MATCH(B$5&amp;"_"&amp;105,Tareas!$N$6:$N$205,0),1)&amp;CHAR(10)&amp;INDEX(Tareas!$O$6:$O$205,MATCH(B$5&amp;"_"&amp;105,Tareas!$N$6:$N$205,0),1))</x:f>
      </x:c>
      <x:c r="C110" s="21" t="str">
        <x:f>IF(105&gt;C$4,"",INDEX(Tareas!$A$6:$A$205,MATCH(C$5&amp;"_"&amp;105,Tareas!$N$6:$N$205,0),1)&amp;" · "&amp;INDEX(Tareas!$D$6:$D$205,MATCH(C$5&amp;"_"&amp;105,Tareas!$N$6:$N$205,0),1)&amp;CHAR(10)&amp;INDEX(Tareas!$C$6:$C$205,MATCH(C$5&amp;"_"&amp;105,Tareas!$N$6:$N$205,0),1)&amp;CHAR(10)&amp;INDEX(Tareas!$E$6:$E$205,MATCH(C$5&amp;"_"&amp;105,Tareas!$N$6:$N$205,0),1)&amp;CHAR(10)&amp;INDEX(Tareas!$O$6:$O$205,MATCH(C$5&amp;"_"&amp;105,Tareas!$N$6:$N$205,0),1))</x:f>
      </x:c>
      <x:c r="D110" s="21" t="str">
        <x:f>IF(105&gt;D$4,"",INDEX(Tareas!$A$6:$A$205,MATCH(D$5&amp;"_"&amp;105,Tareas!$N$6:$N$205,0),1)&amp;" · "&amp;INDEX(Tareas!$D$6:$D$205,MATCH(D$5&amp;"_"&amp;105,Tareas!$N$6:$N$205,0),1)&amp;CHAR(10)&amp;INDEX(Tareas!$C$6:$C$205,MATCH(D$5&amp;"_"&amp;105,Tareas!$N$6:$N$205,0),1)&amp;CHAR(10)&amp;INDEX(Tareas!$E$6:$E$205,MATCH(D$5&amp;"_"&amp;105,Tareas!$N$6:$N$205,0),1)&amp;CHAR(10)&amp;INDEX(Tareas!$O$6:$O$205,MATCH(D$5&amp;"_"&amp;105,Tareas!$N$6:$N$205,0),1))</x:f>
      </x:c>
      <x:c r="E110" s="21" t="str">
        <x:f>IF(105&gt;E$4,"",INDEX(Tareas!$A$6:$A$205,MATCH(E$5&amp;"_"&amp;105,Tareas!$N$6:$N$205,0),1)&amp;" · "&amp;INDEX(Tareas!$D$6:$D$205,MATCH(E$5&amp;"_"&amp;105,Tareas!$N$6:$N$205,0),1)&amp;CHAR(10)&amp;INDEX(Tareas!$C$6:$C$205,MATCH(E$5&amp;"_"&amp;105,Tareas!$N$6:$N$205,0),1)&amp;CHAR(10)&amp;INDEX(Tareas!$E$6:$E$205,MATCH(E$5&amp;"_"&amp;105,Tareas!$N$6:$N$205,0),1)&amp;CHAR(10)&amp;INDEX(Tareas!$O$6:$O$205,MATCH(E$5&amp;"_"&amp;105,Tareas!$N$6:$N$205,0),1))</x:f>
      </x:c>
      <x:c r="F110" s="21" t="str">
        <x:f>IF(105&gt;F$4,"",INDEX(Tareas!$A$6:$A$205,MATCH(F$5&amp;"_"&amp;105,Tareas!$N$6:$N$205,0),1)&amp;" · "&amp;INDEX(Tareas!$D$6:$D$205,MATCH(F$5&amp;"_"&amp;105,Tareas!$N$6:$N$205,0),1)&amp;CHAR(10)&amp;INDEX(Tareas!$C$6:$C$205,MATCH(F$5&amp;"_"&amp;105,Tareas!$N$6:$N$205,0),1)&amp;CHAR(10)&amp;INDEX(Tareas!$E$6:$E$205,MATCH(F$5&amp;"_"&amp;105,Tareas!$N$6:$N$205,0),1)&amp;CHAR(10)&amp;INDEX(Tareas!$O$6:$O$205,MATCH(F$5&amp;"_"&amp;105,Tareas!$N$6:$N$205,0),1))</x:f>
      </x:c>
    </x:row>
    <x:row r="111" ht="76" customHeight="1">
      <x:c r="A111" s="21" t="str">
        <x:f>IF(106&gt;A$4,"",INDEX(Tareas!$A$6:$A$205,MATCH(A$5&amp;"_"&amp;106,Tareas!$N$6:$N$205,0),1)&amp;" · "&amp;INDEX(Tareas!$D$6:$D$205,MATCH(A$5&amp;"_"&amp;106,Tareas!$N$6:$N$205,0),1)&amp;CHAR(10)&amp;INDEX(Tareas!$C$6:$C$205,MATCH(A$5&amp;"_"&amp;106,Tareas!$N$6:$N$205,0),1)&amp;CHAR(10)&amp;INDEX(Tareas!$E$6:$E$205,MATCH(A$5&amp;"_"&amp;106,Tareas!$N$6:$N$205,0),1)&amp;CHAR(10)&amp;INDEX(Tareas!$O$6:$O$205,MATCH(A$5&amp;"_"&amp;106,Tareas!$N$6:$N$205,0),1))</x:f>
      </x:c>
      <x:c r="B111" s="21" t="str">
        <x:f>IF(106&gt;B$4,"",INDEX(Tareas!$A$6:$A$205,MATCH(B$5&amp;"_"&amp;106,Tareas!$N$6:$N$205,0),1)&amp;" · "&amp;INDEX(Tareas!$D$6:$D$205,MATCH(B$5&amp;"_"&amp;106,Tareas!$N$6:$N$205,0),1)&amp;CHAR(10)&amp;INDEX(Tareas!$C$6:$C$205,MATCH(B$5&amp;"_"&amp;106,Tareas!$N$6:$N$205,0),1)&amp;CHAR(10)&amp;INDEX(Tareas!$E$6:$E$205,MATCH(B$5&amp;"_"&amp;106,Tareas!$N$6:$N$205,0),1)&amp;CHAR(10)&amp;INDEX(Tareas!$O$6:$O$205,MATCH(B$5&amp;"_"&amp;106,Tareas!$N$6:$N$205,0),1))</x:f>
      </x:c>
      <x:c r="C111" s="21" t="str">
        <x:f>IF(106&gt;C$4,"",INDEX(Tareas!$A$6:$A$205,MATCH(C$5&amp;"_"&amp;106,Tareas!$N$6:$N$205,0),1)&amp;" · "&amp;INDEX(Tareas!$D$6:$D$205,MATCH(C$5&amp;"_"&amp;106,Tareas!$N$6:$N$205,0),1)&amp;CHAR(10)&amp;INDEX(Tareas!$C$6:$C$205,MATCH(C$5&amp;"_"&amp;106,Tareas!$N$6:$N$205,0),1)&amp;CHAR(10)&amp;INDEX(Tareas!$E$6:$E$205,MATCH(C$5&amp;"_"&amp;106,Tareas!$N$6:$N$205,0),1)&amp;CHAR(10)&amp;INDEX(Tareas!$O$6:$O$205,MATCH(C$5&amp;"_"&amp;106,Tareas!$N$6:$N$205,0),1))</x:f>
      </x:c>
      <x:c r="D111" s="21" t="str">
        <x:f>IF(106&gt;D$4,"",INDEX(Tareas!$A$6:$A$205,MATCH(D$5&amp;"_"&amp;106,Tareas!$N$6:$N$205,0),1)&amp;" · "&amp;INDEX(Tareas!$D$6:$D$205,MATCH(D$5&amp;"_"&amp;106,Tareas!$N$6:$N$205,0),1)&amp;CHAR(10)&amp;INDEX(Tareas!$C$6:$C$205,MATCH(D$5&amp;"_"&amp;106,Tareas!$N$6:$N$205,0),1)&amp;CHAR(10)&amp;INDEX(Tareas!$E$6:$E$205,MATCH(D$5&amp;"_"&amp;106,Tareas!$N$6:$N$205,0),1)&amp;CHAR(10)&amp;INDEX(Tareas!$O$6:$O$205,MATCH(D$5&amp;"_"&amp;106,Tareas!$N$6:$N$205,0),1))</x:f>
      </x:c>
      <x:c r="E111" s="21" t="str">
        <x:f>IF(106&gt;E$4,"",INDEX(Tareas!$A$6:$A$205,MATCH(E$5&amp;"_"&amp;106,Tareas!$N$6:$N$205,0),1)&amp;" · "&amp;INDEX(Tareas!$D$6:$D$205,MATCH(E$5&amp;"_"&amp;106,Tareas!$N$6:$N$205,0),1)&amp;CHAR(10)&amp;INDEX(Tareas!$C$6:$C$205,MATCH(E$5&amp;"_"&amp;106,Tareas!$N$6:$N$205,0),1)&amp;CHAR(10)&amp;INDEX(Tareas!$E$6:$E$205,MATCH(E$5&amp;"_"&amp;106,Tareas!$N$6:$N$205,0),1)&amp;CHAR(10)&amp;INDEX(Tareas!$O$6:$O$205,MATCH(E$5&amp;"_"&amp;106,Tareas!$N$6:$N$205,0),1))</x:f>
      </x:c>
      <x:c r="F111" s="21" t="str">
        <x:f>IF(106&gt;F$4,"",INDEX(Tareas!$A$6:$A$205,MATCH(F$5&amp;"_"&amp;106,Tareas!$N$6:$N$205,0),1)&amp;" · "&amp;INDEX(Tareas!$D$6:$D$205,MATCH(F$5&amp;"_"&amp;106,Tareas!$N$6:$N$205,0),1)&amp;CHAR(10)&amp;INDEX(Tareas!$C$6:$C$205,MATCH(F$5&amp;"_"&amp;106,Tareas!$N$6:$N$205,0),1)&amp;CHAR(10)&amp;INDEX(Tareas!$E$6:$E$205,MATCH(F$5&amp;"_"&amp;106,Tareas!$N$6:$N$205,0),1)&amp;CHAR(10)&amp;INDEX(Tareas!$O$6:$O$205,MATCH(F$5&amp;"_"&amp;106,Tareas!$N$6:$N$205,0),1))</x:f>
      </x:c>
    </x:row>
    <x:row r="112" ht="76" customHeight="1">
      <x:c r="A112" s="21" t="str">
        <x:f>IF(107&gt;A$4,"",INDEX(Tareas!$A$6:$A$205,MATCH(A$5&amp;"_"&amp;107,Tareas!$N$6:$N$205,0),1)&amp;" · "&amp;INDEX(Tareas!$D$6:$D$205,MATCH(A$5&amp;"_"&amp;107,Tareas!$N$6:$N$205,0),1)&amp;CHAR(10)&amp;INDEX(Tareas!$C$6:$C$205,MATCH(A$5&amp;"_"&amp;107,Tareas!$N$6:$N$205,0),1)&amp;CHAR(10)&amp;INDEX(Tareas!$E$6:$E$205,MATCH(A$5&amp;"_"&amp;107,Tareas!$N$6:$N$205,0),1)&amp;CHAR(10)&amp;INDEX(Tareas!$O$6:$O$205,MATCH(A$5&amp;"_"&amp;107,Tareas!$N$6:$N$205,0),1))</x:f>
      </x:c>
      <x:c r="B112" s="21" t="str">
        <x:f>IF(107&gt;B$4,"",INDEX(Tareas!$A$6:$A$205,MATCH(B$5&amp;"_"&amp;107,Tareas!$N$6:$N$205,0),1)&amp;" · "&amp;INDEX(Tareas!$D$6:$D$205,MATCH(B$5&amp;"_"&amp;107,Tareas!$N$6:$N$205,0),1)&amp;CHAR(10)&amp;INDEX(Tareas!$C$6:$C$205,MATCH(B$5&amp;"_"&amp;107,Tareas!$N$6:$N$205,0),1)&amp;CHAR(10)&amp;INDEX(Tareas!$E$6:$E$205,MATCH(B$5&amp;"_"&amp;107,Tareas!$N$6:$N$205,0),1)&amp;CHAR(10)&amp;INDEX(Tareas!$O$6:$O$205,MATCH(B$5&amp;"_"&amp;107,Tareas!$N$6:$N$205,0),1))</x:f>
      </x:c>
      <x:c r="C112" s="21" t="str">
        <x:f>IF(107&gt;C$4,"",INDEX(Tareas!$A$6:$A$205,MATCH(C$5&amp;"_"&amp;107,Tareas!$N$6:$N$205,0),1)&amp;" · "&amp;INDEX(Tareas!$D$6:$D$205,MATCH(C$5&amp;"_"&amp;107,Tareas!$N$6:$N$205,0),1)&amp;CHAR(10)&amp;INDEX(Tareas!$C$6:$C$205,MATCH(C$5&amp;"_"&amp;107,Tareas!$N$6:$N$205,0),1)&amp;CHAR(10)&amp;INDEX(Tareas!$E$6:$E$205,MATCH(C$5&amp;"_"&amp;107,Tareas!$N$6:$N$205,0),1)&amp;CHAR(10)&amp;INDEX(Tareas!$O$6:$O$205,MATCH(C$5&amp;"_"&amp;107,Tareas!$N$6:$N$205,0),1))</x:f>
      </x:c>
      <x:c r="D112" s="21" t="str">
        <x:f>IF(107&gt;D$4,"",INDEX(Tareas!$A$6:$A$205,MATCH(D$5&amp;"_"&amp;107,Tareas!$N$6:$N$205,0),1)&amp;" · "&amp;INDEX(Tareas!$D$6:$D$205,MATCH(D$5&amp;"_"&amp;107,Tareas!$N$6:$N$205,0),1)&amp;CHAR(10)&amp;INDEX(Tareas!$C$6:$C$205,MATCH(D$5&amp;"_"&amp;107,Tareas!$N$6:$N$205,0),1)&amp;CHAR(10)&amp;INDEX(Tareas!$E$6:$E$205,MATCH(D$5&amp;"_"&amp;107,Tareas!$N$6:$N$205,0),1)&amp;CHAR(10)&amp;INDEX(Tareas!$O$6:$O$205,MATCH(D$5&amp;"_"&amp;107,Tareas!$N$6:$N$205,0),1))</x:f>
      </x:c>
      <x:c r="E112" s="21" t="str">
        <x:f>IF(107&gt;E$4,"",INDEX(Tareas!$A$6:$A$205,MATCH(E$5&amp;"_"&amp;107,Tareas!$N$6:$N$205,0),1)&amp;" · "&amp;INDEX(Tareas!$D$6:$D$205,MATCH(E$5&amp;"_"&amp;107,Tareas!$N$6:$N$205,0),1)&amp;CHAR(10)&amp;INDEX(Tareas!$C$6:$C$205,MATCH(E$5&amp;"_"&amp;107,Tareas!$N$6:$N$205,0),1)&amp;CHAR(10)&amp;INDEX(Tareas!$E$6:$E$205,MATCH(E$5&amp;"_"&amp;107,Tareas!$N$6:$N$205,0),1)&amp;CHAR(10)&amp;INDEX(Tareas!$O$6:$O$205,MATCH(E$5&amp;"_"&amp;107,Tareas!$N$6:$N$205,0),1))</x:f>
      </x:c>
      <x:c r="F112" s="21" t="str">
        <x:f>IF(107&gt;F$4,"",INDEX(Tareas!$A$6:$A$205,MATCH(F$5&amp;"_"&amp;107,Tareas!$N$6:$N$205,0),1)&amp;" · "&amp;INDEX(Tareas!$D$6:$D$205,MATCH(F$5&amp;"_"&amp;107,Tareas!$N$6:$N$205,0),1)&amp;CHAR(10)&amp;INDEX(Tareas!$C$6:$C$205,MATCH(F$5&amp;"_"&amp;107,Tareas!$N$6:$N$205,0),1)&amp;CHAR(10)&amp;INDEX(Tareas!$E$6:$E$205,MATCH(F$5&amp;"_"&amp;107,Tareas!$N$6:$N$205,0),1)&amp;CHAR(10)&amp;INDEX(Tareas!$O$6:$O$205,MATCH(F$5&amp;"_"&amp;107,Tareas!$N$6:$N$205,0),1))</x:f>
      </x:c>
    </x:row>
    <x:row r="113" ht="76" customHeight="1">
      <x:c r="A113" s="21" t="str">
        <x:f>IF(108&gt;A$4,"",INDEX(Tareas!$A$6:$A$205,MATCH(A$5&amp;"_"&amp;108,Tareas!$N$6:$N$205,0),1)&amp;" · "&amp;INDEX(Tareas!$D$6:$D$205,MATCH(A$5&amp;"_"&amp;108,Tareas!$N$6:$N$205,0),1)&amp;CHAR(10)&amp;INDEX(Tareas!$C$6:$C$205,MATCH(A$5&amp;"_"&amp;108,Tareas!$N$6:$N$205,0),1)&amp;CHAR(10)&amp;INDEX(Tareas!$E$6:$E$205,MATCH(A$5&amp;"_"&amp;108,Tareas!$N$6:$N$205,0),1)&amp;CHAR(10)&amp;INDEX(Tareas!$O$6:$O$205,MATCH(A$5&amp;"_"&amp;108,Tareas!$N$6:$N$205,0),1))</x:f>
      </x:c>
      <x:c r="B113" s="21" t="str">
        <x:f>IF(108&gt;B$4,"",INDEX(Tareas!$A$6:$A$205,MATCH(B$5&amp;"_"&amp;108,Tareas!$N$6:$N$205,0),1)&amp;" · "&amp;INDEX(Tareas!$D$6:$D$205,MATCH(B$5&amp;"_"&amp;108,Tareas!$N$6:$N$205,0),1)&amp;CHAR(10)&amp;INDEX(Tareas!$C$6:$C$205,MATCH(B$5&amp;"_"&amp;108,Tareas!$N$6:$N$205,0),1)&amp;CHAR(10)&amp;INDEX(Tareas!$E$6:$E$205,MATCH(B$5&amp;"_"&amp;108,Tareas!$N$6:$N$205,0),1)&amp;CHAR(10)&amp;INDEX(Tareas!$O$6:$O$205,MATCH(B$5&amp;"_"&amp;108,Tareas!$N$6:$N$205,0),1))</x:f>
      </x:c>
      <x:c r="C113" s="21" t="str">
        <x:f>IF(108&gt;C$4,"",INDEX(Tareas!$A$6:$A$205,MATCH(C$5&amp;"_"&amp;108,Tareas!$N$6:$N$205,0),1)&amp;" · "&amp;INDEX(Tareas!$D$6:$D$205,MATCH(C$5&amp;"_"&amp;108,Tareas!$N$6:$N$205,0),1)&amp;CHAR(10)&amp;INDEX(Tareas!$C$6:$C$205,MATCH(C$5&amp;"_"&amp;108,Tareas!$N$6:$N$205,0),1)&amp;CHAR(10)&amp;INDEX(Tareas!$E$6:$E$205,MATCH(C$5&amp;"_"&amp;108,Tareas!$N$6:$N$205,0),1)&amp;CHAR(10)&amp;INDEX(Tareas!$O$6:$O$205,MATCH(C$5&amp;"_"&amp;108,Tareas!$N$6:$N$205,0),1))</x:f>
      </x:c>
      <x:c r="D113" s="21" t="str">
        <x:f>IF(108&gt;D$4,"",INDEX(Tareas!$A$6:$A$205,MATCH(D$5&amp;"_"&amp;108,Tareas!$N$6:$N$205,0),1)&amp;" · "&amp;INDEX(Tareas!$D$6:$D$205,MATCH(D$5&amp;"_"&amp;108,Tareas!$N$6:$N$205,0),1)&amp;CHAR(10)&amp;INDEX(Tareas!$C$6:$C$205,MATCH(D$5&amp;"_"&amp;108,Tareas!$N$6:$N$205,0),1)&amp;CHAR(10)&amp;INDEX(Tareas!$E$6:$E$205,MATCH(D$5&amp;"_"&amp;108,Tareas!$N$6:$N$205,0),1)&amp;CHAR(10)&amp;INDEX(Tareas!$O$6:$O$205,MATCH(D$5&amp;"_"&amp;108,Tareas!$N$6:$N$205,0),1))</x:f>
      </x:c>
      <x:c r="E113" s="21" t="str">
        <x:f>IF(108&gt;E$4,"",INDEX(Tareas!$A$6:$A$205,MATCH(E$5&amp;"_"&amp;108,Tareas!$N$6:$N$205,0),1)&amp;" · "&amp;INDEX(Tareas!$D$6:$D$205,MATCH(E$5&amp;"_"&amp;108,Tareas!$N$6:$N$205,0),1)&amp;CHAR(10)&amp;INDEX(Tareas!$C$6:$C$205,MATCH(E$5&amp;"_"&amp;108,Tareas!$N$6:$N$205,0),1)&amp;CHAR(10)&amp;INDEX(Tareas!$E$6:$E$205,MATCH(E$5&amp;"_"&amp;108,Tareas!$N$6:$N$205,0),1)&amp;CHAR(10)&amp;INDEX(Tareas!$O$6:$O$205,MATCH(E$5&amp;"_"&amp;108,Tareas!$N$6:$N$205,0),1))</x:f>
      </x:c>
      <x:c r="F113" s="21" t="str">
        <x:f>IF(108&gt;F$4,"",INDEX(Tareas!$A$6:$A$205,MATCH(F$5&amp;"_"&amp;108,Tareas!$N$6:$N$205,0),1)&amp;" · "&amp;INDEX(Tareas!$D$6:$D$205,MATCH(F$5&amp;"_"&amp;108,Tareas!$N$6:$N$205,0),1)&amp;CHAR(10)&amp;INDEX(Tareas!$C$6:$C$205,MATCH(F$5&amp;"_"&amp;108,Tareas!$N$6:$N$205,0),1)&amp;CHAR(10)&amp;INDEX(Tareas!$E$6:$E$205,MATCH(F$5&amp;"_"&amp;108,Tareas!$N$6:$N$205,0),1)&amp;CHAR(10)&amp;INDEX(Tareas!$O$6:$O$205,MATCH(F$5&amp;"_"&amp;108,Tareas!$N$6:$N$205,0),1))</x:f>
      </x:c>
    </x:row>
    <x:row r="114" ht="76" customHeight="1">
      <x:c r="A114" s="21" t="str">
        <x:f>IF(109&gt;A$4,"",INDEX(Tareas!$A$6:$A$205,MATCH(A$5&amp;"_"&amp;109,Tareas!$N$6:$N$205,0),1)&amp;" · "&amp;INDEX(Tareas!$D$6:$D$205,MATCH(A$5&amp;"_"&amp;109,Tareas!$N$6:$N$205,0),1)&amp;CHAR(10)&amp;INDEX(Tareas!$C$6:$C$205,MATCH(A$5&amp;"_"&amp;109,Tareas!$N$6:$N$205,0),1)&amp;CHAR(10)&amp;INDEX(Tareas!$E$6:$E$205,MATCH(A$5&amp;"_"&amp;109,Tareas!$N$6:$N$205,0),1)&amp;CHAR(10)&amp;INDEX(Tareas!$O$6:$O$205,MATCH(A$5&amp;"_"&amp;109,Tareas!$N$6:$N$205,0),1))</x:f>
      </x:c>
      <x:c r="B114" s="21" t="str">
        <x:f>IF(109&gt;B$4,"",INDEX(Tareas!$A$6:$A$205,MATCH(B$5&amp;"_"&amp;109,Tareas!$N$6:$N$205,0),1)&amp;" · "&amp;INDEX(Tareas!$D$6:$D$205,MATCH(B$5&amp;"_"&amp;109,Tareas!$N$6:$N$205,0),1)&amp;CHAR(10)&amp;INDEX(Tareas!$C$6:$C$205,MATCH(B$5&amp;"_"&amp;109,Tareas!$N$6:$N$205,0),1)&amp;CHAR(10)&amp;INDEX(Tareas!$E$6:$E$205,MATCH(B$5&amp;"_"&amp;109,Tareas!$N$6:$N$205,0),1)&amp;CHAR(10)&amp;INDEX(Tareas!$O$6:$O$205,MATCH(B$5&amp;"_"&amp;109,Tareas!$N$6:$N$205,0),1))</x:f>
      </x:c>
      <x:c r="C114" s="21" t="str">
        <x:f>IF(109&gt;C$4,"",INDEX(Tareas!$A$6:$A$205,MATCH(C$5&amp;"_"&amp;109,Tareas!$N$6:$N$205,0),1)&amp;" · "&amp;INDEX(Tareas!$D$6:$D$205,MATCH(C$5&amp;"_"&amp;109,Tareas!$N$6:$N$205,0),1)&amp;CHAR(10)&amp;INDEX(Tareas!$C$6:$C$205,MATCH(C$5&amp;"_"&amp;109,Tareas!$N$6:$N$205,0),1)&amp;CHAR(10)&amp;INDEX(Tareas!$E$6:$E$205,MATCH(C$5&amp;"_"&amp;109,Tareas!$N$6:$N$205,0),1)&amp;CHAR(10)&amp;INDEX(Tareas!$O$6:$O$205,MATCH(C$5&amp;"_"&amp;109,Tareas!$N$6:$N$205,0),1))</x:f>
      </x:c>
      <x:c r="D114" s="21" t="str">
        <x:f>IF(109&gt;D$4,"",INDEX(Tareas!$A$6:$A$205,MATCH(D$5&amp;"_"&amp;109,Tareas!$N$6:$N$205,0),1)&amp;" · "&amp;INDEX(Tareas!$D$6:$D$205,MATCH(D$5&amp;"_"&amp;109,Tareas!$N$6:$N$205,0),1)&amp;CHAR(10)&amp;INDEX(Tareas!$C$6:$C$205,MATCH(D$5&amp;"_"&amp;109,Tareas!$N$6:$N$205,0),1)&amp;CHAR(10)&amp;INDEX(Tareas!$E$6:$E$205,MATCH(D$5&amp;"_"&amp;109,Tareas!$N$6:$N$205,0),1)&amp;CHAR(10)&amp;INDEX(Tareas!$O$6:$O$205,MATCH(D$5&amp;"_"&amp;109,Tareas!$N$6:$N$205,0),1))</x:f>
      </x:c>
      <x:c r="E114" s="21" t="str">
        <x:f>IF(109&gt;E$4,"",INDEX(Tareas!$A$6:$A$205,MATCH(E$5&amp;"_"&amp;109,Tareas!$N$6:$N$205,0),1)&amp;" · "&amp;INDEX(Tareas!$D$6:$D$205,MATCH(E$5&amp;"_"&amp;109,Tareas!$N$6:$N$205,0),1)&amp;CHAR(10)&amp;INDEX(Tareas!$C$6:$C$205,MATCH(E$5&amp;"_"&amp;109,Tareas!$N$6:$N$205,0),1)&amp;CHAR(10)&amp;INDEX(Tareas!$E$6:$E$205,MATCH(E$5&amp;"_"&amp;109,Tareas!$N$6:$N$205,0),1)&amp;CHAR(10)&amp;INDEX(Tareas!$O$6:$O$205,MATCH(E$5&amp;"_"&amp;109,Tareas!$N$6:$N$205,0),1))</x:f>
      </x:c>
      <x:c r="F114" s="21" t="str">
        <x:f>IF(109&gt;F$4,"",INDEX(Tareas!$A$6:$A$205,MATCH(F$5&amp;"_"&amp;109,Tareas!$N$6:$N$205,0),1)&amp;" · "&amp;INDEX(Tareas!$D$6:$D$205,MATCH(F$5&amp;"_"&amp;109,Tareas!$N$6:$N$205,0),1)&amp;CHAR(10)&amp;INDEX(Tareas!$C$6:$C$205,MATCH(F$5&amp;"_"&amp;109,Tareas!$N$6:$N$205,0),1)&amp;CHAR(10)&amp;INDEX(Tareas!$E$6:$E$205,MATCH(F$5&amp;"_"&amp;109,Tareas!$N$6:$N$205,0),1)&amp;CHAR(10)&amp;INDEX(Tareas!$O$6:$O$205,MATCH(F$5&amp;"_"&amp;109,Tareas!$N$6:$N$205,0),1))</x:f>
      </x:c>
    </x:row>
    <x:row r="115" ht="76" customHeight="1">
      <x:c r="A115" s="21" t="str">
        <x:f>IF(110&gt;A$4,"",INDEX(Tareas!$A$6:$A$205,MATCH(A$5&amp;"_"&amp;110,Tareas!$N$6:$N$205,0),1)&amp;" · "&amp;INDEX(Tareas!$D$6:$D$205,MATCH(A$5&amp;"_"&amp;110,Tareas!$N$6:$N$205,0),1)&amp;CHAR(10)&amp;INDEX(Tareas!$C$6:$C$205,MATCH(A$5&amp;"_"&amp;110,Tareas!$N$6:$N$205,0),1)&amp;CHAR(10)&amp;INDEX(Tareas!$E$6:$E$205,MATCH(A$5&amp;"_"&amp;110,Tareas!$N$6:$N$205,0),1)&amp;CHAR(10)&amp;INDEX(Tareas!$O$6:$O$205,MATCH(A$5&amp;"_"&amp;110,Tareas!$N$6:$N$205,0),1))</x:f>
      </x:c>
      <x:c r="B115" s="21" t="str">
        <x:f>IF(110&gt;B$4,"",INDEX(Tareas!$A$6:$A$205,MATCH(B$5&amp;"_"&amp;110,Tareas!$N$6:$N$205,0),1)&amp;" · "&amp;INDEX(Tareas!$D$6:$D$205,MATCH(B$5&amp;"_"&amp;110,Tareas!$N$6:$N$205,0),1)&amp;CHAR(10)&amp;INDEX(Tareas!$C$6:$C$205,MATCH(B$5&amp;"_"&amp;110,Tareas!$N$6:$N$205,0),1)&amp;CHAR(10)&amp;INDEX(Tareas!$E$6:$E$205,MATCH(B$5&amp;"_"&amp;110,Tareas!$N$6:$N$205,0),1)&amp;CHAR(10)&amp;INDEX(Tareas!$O$6:$O$205,MATCH(B$5&amp;"_"&amp;110,Tareas!$N$6:$N$205,0),1))</x:f>
      </x:c>
      <x:c r="C115" s="21" t="str">
        <x:f>IF(110&gt;C$4,"",INDEX(Tareas!$A$6:$A$205,MATCH(C$5&amp;"_"&amp;110,Tareas!$N$6:$N$205,0),1)&amp;" · "&amp;INDEX(Tareas!$D$6:$D$205,MATCH(C$5&amp;"_"&amp;110,Tareas!$N$6:$N$205,0),1)&amp;CHAR(10)&amp;INDEX(Tareas!$C$6:$C$205,MATCH(C$5&amp;"_"&amp;110,Tareas!$N$6:$N$205,0),1)&amp;CHAR(10)&amp;INDEX(Tareas!$E$6:$E$205,MATCH(C$5&amp;"_"&amp;110,Tareas!$N$6:$N$205,0),1)&amp;CHAR(10)&amp;INDEX(Tareas!$O$6:$O$205,MATCH(C$5&amp;"_"&amp;110,Tareas!$N$6:$N$205,0),1))</x:f>
      </x:c>
      <x:c r="D115" s="21" t="str">
        <x:f>IF(110&gt;D$4,"",INDEX(Tareas!$A$6:$A$205,MATCH(D$5&amp;"_"&amp;110,Tareas!$N$6:$N$205,0),1)&amp;" · "&amp;INDEX(Tareas!$D$6:$D$205,MATCH(D$5&amp;"_"&amp;110,Tareas!$N$6:$N$205,0),1)&amp;CHAR(10)&amp;INDEX(Tareas!$C$6:$C$205,MATCH(D$5&amp;"_"&amp;110,Tareas!$N$6:$N$205,0),1)&amp;CHAR(10)&amp;INDEX(Tareas!$E$6:$E$205,MATCH(D$5&amp;"_"&amp;110,Tareas!$N$6:$N$205,0),1)&amp;CHAR(10)&amp;INDEX(Tareas!$O$6:$O$205,MATCH(D$5&amp;"_"&amp;110,Tareas!$N$6:$N$205,0),1))</x:f>
      </x:c>
      <x:c r="E115" s="21" t="str">
        <x:f>IF(110&gt;E$4,"",INDEX(Tareas!$A$6:$A$205,MATCH(E$5&amp;"_"&amp;110,Tareas!$N$6:$N$205,0),1)&amp;" · "&amp;INDEX(Tareas!$D$6:$D$205,MATCH(E$5&amp;"_"&amp;110,Tareas!$N$6:$N$205,0),1)&amp;CHAR(10)&amp;INDEX(Tareas!$C$6:$C$205,MATCH(E$5&amp;"_"&amp;110,Tareas!$N$6:$N$205,0),1)&amp;CHAR(10)&amp;INDEX(Tareas!$E$6:$E$205,MATCH(E$5&amp;"_"&amp;110,Tareas!$N$6:$N$205,0),1)&amp;CHAR(10)&amp;INDEX(Tareas!$O$6:$O$205,MATCH(E$5&amp;"_"&amp;110,Tareas!$N$6:$N$205,0),1))</x:f>
      </x:c>
      <x:c r="F115" s="21" t="str">
        <x:f>IF(110&gt;F$4,"",INDEX(Tareas!$A$6:$A$205,MATCH(F$5&amp;"_"&amp;110,Tareas!$N$6:$N$205,0),1)&amp;" · "&amp;INDEX(Tareas!$D$6:$D$205,MATCH(F$5&amp;"_"&amp;110,Tareas!$N$6:$N$205,0),1)&amp;CHAR(10)&amp;INDEX(Tareas!$C$6:$C$205,MATCH(F$5&amp;"_"&amp;110,Tareas!$N$6:$N$205,0),1)&amp;CHAR(10)&amp;INDEX(Tareas!$E$6:$E$205,MATCH(F$5&amp;"_"&amp;110,Tareas!$N$6:$N$205,0),1)&amp;CHAR(10)&amp;INDEX(Tareas!$O$6:$O$205,MATCH(F$5&amp;"_"&amp;110,Tareas!$N$6:$N$205,0),1))</x:f>
      </x:c>
    </x:row>
    <x:row r="116" ht="76" customHeight="1">
      <x:c r="A116" s="21" t="str">
        <x:f>IF(111&gt;A$4,"",INDEX(Tareas!$A$6:$A$205,MATCH(A$5&amp;"_"&amp;111,Tareas!$N$6:$N$205,0),1)&amp;" · "&amp;INDEX(Tareas!$D$6:$D$205,MATCH(A$5&amp;"_"&amp;111,Tareas!$N$6:$N$205,0),1)&amp;CHAR(10)&amp;INDEX(Tareas!$C$6:$C$205,MATCH(A$5&amp;"_"&amp;111,Tareas!$N$6:$N$205,0),1)&amp;CHAR(10)&amp;INDEX(Tareas!$E$6:$E$205,MATCH(A$5&amp;"_"&amp;111,Tareas!$N$6:$N$205,0),1)&amp;CHAR(10)&amp;INDEX(Tareas!$O$6:$O$205,MATCH(A$5&amp;"_"&amp;111,Tareas!$N$6:$N$205,0),1))</x:f>
      </x:c>
      <x:c r="B116" s="21" t="str">
        <x:f>IF(111&gt;B$4,"",INDEX(Tareas!$A$6:$A$205,MATCH(B$5&amp;"_"&amp;111,Tareas!$N$6:$N$205,0),1)&amp;" · "&amp;INDEX(Tareas!$D$6:$D$205,MATCH(B$5&amp;"_"&amp;111,Tareas!$N$6:$N$205,0),1)&amp;CHAR(10)&amp;INDEX(Tareas!$C$6:$C$205,MATCH(B$5&amp;"_"&amp;111,Tareas!$N$6:$N$205,0),1)&amp;CHAR(10)&amp;INDEX(Tareas!$E$6:$E$205,MATCH(B$5&amp;"_"&amp;111,Tareas!$N$6:$N$205,0),1)&amp;CHAR(10)&amp;INDEX(Tareas!$O$6:$O$205,MATCH(B$5&amp;"_"&amp;111,Tareas!$N$6:$N$205,0),1))</x:f>
      </x:c>
      <x:c r="C116" s="21" t="str">
        <x:f>IF(111&gt;C$4,"",INDEX(Tareas!$A$6:$A$205,MATCH(C$5&amp;"_"&amp;111,Tareas!$N$6:$N$205,0),1)&amp;" · "&amp;INDEX(Tareas!$D$6:$D$205,MATCH(C$5&amp;"_"&amp;111,Tareas!$N$6:$N$205,0),1)&amp;CHAR(10)&amp;INDEX(Tareas!$C$6:$C$205,MATCH(C$5&amp;"_"&amp;111,Tareas!$N$6:$N$205,0),1)&amp;CHAR(10)&amp;INDEX(Tareas!$E$6:$E$205,MATCH(C$5&amp;"_"&amp;111,Tareas!$N$6:$N$205,0),1)&amp;CHAR(10)&amp;INDEX(Tareas!$O$6:$O$205,MATCH(C$5&amp;"_"&amp;111,Tareas!$N$6:$N$205,0),1))</x:f>
      </x:c>
      <x:c r="D116" s="21" t="str">
        <x:f>IF(111&gt;D$4,"",INDEX(Tareas!$A$6:$A$205,MATCH(D$5&amp;"_"&amp;111,Tareas!$N$6:$N$205,0),1)&amp;" · "&amp;INDEX(Tareas!$D$6:$D$205,MATCH(D$5&amp;"_"&amp;111,Tareas!$N$6:$N$205,0),1)&amp;CHAR(10)&amp;INDEX(Tareas!$C$6:$C$205,MATCH(D$5&amp;"_"&amp;111,Tareas!$N$6:$N$205,0),1)&amp;CHAR(10)&amp;INDEX(Tareas!$E$6:$E$205,MATCH(D$5&amp;"_"&amp;111,Tareas!$N$6:$N$205,0),1)&amp;CHAR(10)&amp;INDEX(Tareas!$O$6:$O$205,MATCH(D$5&amp;"_"&amp;111,Tareas!$N$6:$N$205,0),1))</x:f>
      </x:c>
      <x:c r="E116" s="21" t="str">
        <x:f>IF(111&gt;E$4,"",INDEX(Tareas!$A$6:$A$205,MATCH(E$5&amp;"_"&amp;111,Tareas!$N$6:$N$205,0),1)&amp;" · "&amp;INDEX(Tareas!$D$6:$D$205,MATCH(E$5&amp;"_"&amp;111,Tareas!$N$6:$N$205,0),1)&amp;CHAR(10)&amp;INDEX(Tareas!$C$6:$C$205,MATCH(E$5&amp;"_"&amp;111,Tareas!$N$6:$N$205,0),1)&amp;CHAR(10)&amp;INDEX(Tareas!$E$6:$E$205,MATCH(E$5&amp;"_"&amp;111,Tareas!$N$6:$N$205,0),1)&amp;CHAR(10)&amp;INDEX(Tareas!$O$6:$O$205,MATCH(E$5&amp;"_"&amp;111,Tareas!$N$6:$N$205,0),1))</x:f>
      </x:c>
      <x:c r="F116" s="21" t="str">
        <x:f>IF(111&gt;F$4,"",INDEX(Tareas!$A$6:$A$205,MATCH(F$5&amp;"_"&amp;111,Tareas!$N$6:$N$205,0),1)&amp;" · "&amp;INDEX(Tareas!$D$6:$D$205,MATCH(F$5&amp;"_"&amp;111,Tareas!$N$6:$N$205,0),1)&amp;CHAR(10)&amp;INDEX(Tareas!$C$6:$C$205,MATCH(F$5&amp;"_"&amp;111,Tareas!$N$6:$N$205,0),1)&amp;CHAR(10)&amp;INDEX(Tareas!$E$6:$E$205,MATCH(F$5&amp;"_"&amp;111,Tareas!$N$6:$N$205,0),1)&amp;CHAR(10)&amp;INDEX(Tareas!$O$6:$O$205,MATCH(F$5&amp;"_"&amp;111,Tareas!$N$6:$N$205,0),1))</x:f>
      </x:c>
    </x:row>
    <x:row r="117" ht="76" customHeight="1">
      <x:c r="A117" s="21" t="str">
        <x:f>IF(112&gt;A$4,"",INDEX(Tareas!$A$6:$A$205,MATCH(A$5&amp;"_"&amp;112,Tareas!$N$6:$N$205,0),1)&amp;" · "&amp;INDEX(Tareas!$D$6:$D$205,MATCH(A$5&amp;"_"&amp;112,Tareas!$N$6:$N$205,0),1)&amp;CHAR(10)&amp;INDEX(Tareas!$C$6:$C$205,MATCH(A$5&amp;"_"&amp;112,Tareas!$N$6:$N$205,0),1)&amp;CHAR(10)&amp;INDEX(Tareas!$E$6:$E$205,MATCH(A$5&amp;"_"&amp;112,Tareas!$N$6:$N$205,0),1)&amp;CHAR(10)&amp;INDEX(Tareas!$O$6:$O$205,MATCH(A$5&amp;"_"&amp;112,Tareas!$N$6:$N$205,0),1))</x:f>
      </x:c>
      <x:c r="B117" s="21" t="str">
        <x:f>IF(112&gt;B$4,"",INDEX(Tareas!$A$6:$A$205,MATCH(B$5&amp;"_"&amp;112,Tareas!$N$6:$N$205,0),1)&amp;" · "&amp;INDEX(Tareas!$D$6:$D$205,MATCH(B$5&amp;"_"&amp;112,Tareas!$N$6:$N$205,0),1)&amp;CHAR(10)&amp;INDEX(Tareas!$C$6:$C$205,MATCH(B$5&amp;"_"&amp;112,Tareas!$N$6:$N$205,0),1)&amp;CHAR(10)&amp;INDEX(Tareas!$E$6:$E$205,MATCH(B$5&amp;"_"&amp;112,Tareas!$N$6:$N$205,0),1)&amp;CHAR(10)&amp;INDEX(Tareas!$O$6:$O$205,MATCH(B$5&amp;"_"&amp;112,Tareas!$N$6:$N$205,0),1))</x:f>
      </x:c>
      <x:c r="C117" s="21" t="str">
        <x:f>IF(112&gt;C$4,"",INDEX(Tareas!$A$6:$A$205,MATCH(C$5&amp;"_"&amp;112,Tareas!$N$6:$N$205,0),1)&amp;" · "&amp;INDEX(Tareas!$D$6:$D$205,MATCH(C$5&amp;"_"&amp;112,Tareas!$N$6:$N$205,0),1)&amp;CHAR(10)&amp;INDEX(Tareas!$C$6:$C$205,MATCH(C$5&amp;"_"&amp;112,Tareas!$N$6:$N$205,0),1)&amp;CHAR(10)&amp;INDEX(Tareas!$E$6:$E$205,MATCH(C$5&amp;"_"&amp;112,Tareas!$N$6:$N$205,0),1)&amp;CHAR(10)&amp;INDEX(Tareas!$O$6:$O$205,MATCH(C$5&amp;"_"&amp;112,Tareas!$N$6:$N$205,0),1))</x:f>
      </x:c>
      <x:c r="D117" s="21" t="str">
        <x:f>IF(112&gt;D$4,"",INDEX(Tareas!$A$6:$A$205,MATCH(D$5&amp;"_"&amp;112,Tareas!$N$6:$N$205,0),1)&amp;" · "&amp;INDEX(Tareas!$D$6:$D$205,MATCH(D$5&amp;"_"&amp;112,Tareas!$N$6:$N$205,0),1)&amp;CHAR(10)&amp;INDEX(Tareas!$C$6:$C$205,MATCH(D$5&amp;"_"&amp;112,Tareas!$N$6:$N$205,0),1)&amp;CHAR(10)&amp;INDEX(Tareas!$E$6:$E$205,MATCH(D$5&amp;"_"&amp;112,Tareas!$N$6:$N$205,0),1)&amp;CHAR(10)&amp;INDEX(Tareas!$O$6:$O$205,MATCH(D$5&amp;"_"&amp;112,Tareas!$N$6:$N$205,0),1))</x:f>
      </x:c>
      <x:c r="E117" s="21" t="str">
        <x:f>IF(112&gt;E$4,"",INDEX(Tareas!$A$6:$A$205,MATCH(E$5&amp;"_"&amp;112,Tareas!$N$6:$N$205,0),1)&amp;" · "&amp;INDEX(Tareas!$D$6:$D$205,MATCH(E$5&amp;"_"&amp;112,Tareas!$N$6:$N$205,0),1)&amp;CHAR(10)&amp;INDEX(Tareas!$C$6:$C$205,MATCH(E$5&amp;"_"&amp;112,Tareas!$N$6:$N$205,0),1)&amp;CHAR(10)&amp;INDEX(Tareas!$E$6:$E$205,MATCH(E$5&amp;"_"&amp;112,Tareas!$N$6:$N$205,0),1)&amp;CHAR(10)&amp;INDEX(Tareas!$O$6:$O$205,MATCH(E$5&amp;"_"&amp;112,Tareas!$N$6:$N$205,0),1))</x:f>
      </x:c>
      <x:c r="F117" s="21" t="str">
        <x:f>IF(112&gt;F$4,"",INDEX(Tareas!$A$6:$A$205,MATCH(F$5&amp;"_"&amp;112,Tareas!$N$6:$N$205,0),1)&amp;" · "&amp;INDEX(Tareas!$D$6:$D$205,MATCH(F$5&amp;"_"&amp;112,Tareas!$N$6:$N$205,0),1)&amp;CHAR(10)&amp;INDEX(Tareas!$C$6:$C$205,MATCH(F$5&amp;"_"&amp;112,Tareas!$N$6:$N$205,0),1)&amp;CHAR(10)&amp;INDEX(Tareas!$E$6:$E$205,MATCH(F$5&amp;"_"&amp;112,Tareas!$N$6:$N$205,0),1)&amp;CHAR(10)&amp;INDEX(Tareas!$O$6:$O$205,MATCH(F$5&amp;"_"&amp;112,Tareas!$N$6:$N$205,0),1))</x:f>
      </x:c>
    </x:row>
    <x:row r="118" ht="76" customHeight="1">
      <x:c r="A118" s="21" t="str">
        <x:f>IF(113&gt;A$4,"",INDEX(Tareas!$A$6:$A$205,MATCH(A$5&amp;"_"&amp;113,Tareas!$N$6:$N$205,0),1)&amp;" · "&amp;INDEX(Tareas!$D$6:$D$205,MATCH(A$5&amp;"_"&amp;113,Tareas!$N$6:$N$205,0),1)&amp;CHAR(10)&amp;INDEX(Tareas!$C$6:$C$205,MATCH(A$5&amp;"_"&amp;113,Tareas!$N$6:$N$205,0),1)&amp;CHAR(10)&amp;INDEX(Tareas!$E$6:$E$205,MATCH(A$5&amp;"_"&amp;113,Tareas!$N$6:$N$205,0),1)&amp;CHAR(10)&amp;INDEX(Tareas!$O$6:$O$205,MATCH(A$5&amp;"_"&amp;113,Tareas!$N$6:$N$205,0),1))</x:f>
      </x:c>
      <x:c r="B118" s="21" t="str">
        <x:f>IF(113&gt;B$4,"",INDEX(Tareas!$A$6:$A$205,MATCH(B$5&amp;"_"&amp;113,Tareas!$N$6:$N$205,0),1)&amp;" · "&amp;INDEX(Tareas!$D$6:$D$205,MATCH(B$5&amp;"_"&amp;113,Tareas!$N$6:$N$205,0),1)&amp;CHAR(10)&amp;INDEX(Tareas!$C$6:$C$205,MATCH(B$5&amp;"_"&amp;113,Tareas!$N$6:$N$205,0),1)&amp;CHAR(10)&amp;INDEX(Tareas!$E$6:$E$205,MATCH(B$5&amp;"_"&amp;113,Tareas!$N$6:$N$205,0),1)&amp;CHAR(10)&amp;INDEX(Tareas!$O$6:$O$205,MATCH(B$5&amp;"_"&amp;113,Tareas!$N$6:$N$205,0),1))</x:f>
      </x:c>
      <x:c r="C118" s="21" t="str">
        <x:f>IF(113&gt;C$4,"",INDEX(Tareas!$A$6:$A$205,MATCH(C$5&amp;"_"&amp;113,Tareas!$N$6:$N$205,0),1)&amp;" · "&amp;INDEX(Tareas!$D$6:$D$205,MATCH(C$5&amp;"_"&amp;113,Tareas!$N$6:$N$205,0),1)&amp;CHAR(10)&amp;INDEX(Tareas!$C$6:$C$205,MATCH(C$5&amp;"_"&amp;113,Tareas!$N$6:$N$205,0),1)&amp;CHAR(10)&amp;INDEX(Tareas!$E$6:$E$205,MATCH(C$5&amp;"_"&amp;113,Tareas!$N$6:$N$205,0),1)&amp;CHAR(10)&amp;INDEX(Tareas!$O$6:$O$205,MATCH(C$5&amp;"_"&amp;113,Tareas!$N$6:$N$205,0),1))</x:f>
      </x:c>
      <x:c r="D118" s="21" t="str">
        <x:f>IF(113&gt;D$4,"",INDEX(Tareas!$A$6:$A$205,MATCH(D$5&amp;"_"&amp;113,Tareas!$N$6:$N$205,0),1)&amp;" · "&amp;INDEX(Tareas!$D$6:$D$205,MATCH(D$5&amp;"_"&amp;113,Tareas!$N$6:$N$205,0),1)&amp;CHAR(10)&amp;INDEX(Tareas!$C$6:$C$205,MATCH(D$5&amp;"_"&amp;113,Tareas!$N$6:$N$205,0),1)&amp;CHAR(10)&amp;INDEX(Tareas!$E$6:$E$205,MATCH(D$5&amp;"_"&amp;113,Tareas!$N$6:$N$205,0),1)&amp;CHAR(10)&amp;INDEX(Tareas!$O$6:$O$205,MATCH(D$5&amp;"_"&amp;113,Tareas!$N$6:$N$205,0),1))</x:f>
      </x:c>
      <x:c r="E118" s="21" t="str">
        <x:f>IF(113&gt;E$4,"",INDEX(Tareas!$A$6:$A$205,MATCH(E$5&amp;"_"&amp;113,Tareas!$N$6:$N$205,0),1)&amp;" · "&amp;INDEX(Tareas!$D$6:$D$205,MATCH(E$5&amp;"_"&amp;113,Tareas!$N$6:$N$205,0),1)&amp;CHAR(10)&amp;INDEX(Tareas!$C$6:$C$205,MATCH(E$5&amp;"_"&amp;113,Tareas!$N$6:$N$205,0),1)&amp;CHAR(10)&amp;INDEX(Tareas!$E$6:$E$205,MATCH(E$5&amp;"_"&amp;113,Tareas!$N$6:$N$205,0),1)&amp;CHAR(10)&amp;INDEX(Tareas!$O$6:$O$205,MATCH(E$5&amp;"_"&amp;113,Tareas!$N$6:$N$205,0),1))</x:f>
      </x:c>
      <x:c r="F118" s="21" t="str">
        <x:f>IF(113&gt;F$4,"",INDEX(Tareas!$A$6:$A$205,MATCH(F$5&amp;"_"&amp;113,Tareas!$N$6:$N$205,0),1)&amp;" · "&amp;INDEX(Tareas!$D$6:$D$205,MATCH(F$5&amp;"_"&amp;113,Tareas!$N$6:$N$205,0),1)&amp;CHAR(10)&amp;INDEX(Tareas!$C$6:$C$205,MATCH(F$5&amp;"_"&amp;113,Tareas!$N$6:$N$205,0),1)&amp;CHAR(10)&amp;INDEX(Tareas!$E$6:$E$205,MATCH(F$5&amp;"_"&amp;113,Tareas!$N$6:$N$205,0),1)&amp;CHAR(10)&amp;INDEX(Tareas!$O$6:$O$205,MATCH(F$5&amp;"_"&amp;113,Tareas!$N$6:$N$205,0),1))</x:f>
      </x:c>
    </x:row>
    <x:row r="119" ht="76" customHeight="1">
      <x:c r="A119" s="21" t="str">
        <x:f>IF(114&gt;A$4,"",INDEX(Tareas!$A$6:$A$205,MATCH(A$5&amp;"_"&amp;114,Tareas!$N$6:$N$205,0),1)&amp;" · "&amp;INDEX(Tareas!$D$6:$D$205,MATCH(A$5&amp;"_"&amp;114,Tareas!$N$6:$N$205,0),1)&amp;CHAR(10)&amp;INDEX(Tareas!$C$6:$C$205,MATCH(A$5&amp;"_"&amp;114,Tareas!$N$6:$N$205,0),1)&amp;CHAR(10)&amp;INDEX(Tareas!$E$6:$E$205,MATCH(A$5&amp;"_"&amp;114,Tareas!$N$6:$N$205,0),1)&amp;CHAR(10)&amp;INDEX(Tareas!$O$6:$O$205,MATCH(A$5&amp;"_"&amp;114,Tareas!$N$6:$N$205,0),1))</x:f>
      </x:c>
      <x:c r="B119" s="21" t="str">
        <x:f>IF(114&gt;B$4,"",INDEX(Tareas!$A$6:$A$205,MATCH(B$5&amp;"_"&amp;114,Tareas!$N$6:$N$205,0),1)&amp;" · "&amp;INDEX(Tareas!$D$6:$D$205,MATCH(B$5&amp;"_"&amp;114,Tareas!$N$6:$N$205,0),1)&amp;CHAR(10)&amp;INDEX(Tareas!$C$6:$C$205,MATCH(B$5&amp;"_"&amp;114,Tareas!$N$6:$N$205,0),1)&amp;CHAR(10)&amp;INDEX(Tareas!$E$6:$E$205,MATCH(B$5&amp;"_"&amp;114,Tareas!$N$6:$N$205,0),1)&amp;CHAR(10)&amp;INDEX(Tareas!$O$6:$O$205,MATCH(B$5&amp;"_"&amp;114,Tareas!$N$6:$N$205,0),1))</x:f>
      </x:c>
      <x:c r="C119" s="21" t="str">
        <x:f>IF(114&gt;C$4,"",INDEX(Tareas!$A$6:$A$205,MATCH(C$5&amp;"_"&amp;114,Tareas!$N$6:$N$205,0),1)&amp;" · "&amp;INDEX(Tareas!$D$6:$D$205,MATCH(C$5&amp;"_"&amp;114,Tareas!$N$6:$N$205,0),1)&amp;CHAR(10)&amp;INDEX(Tareas!$C$6:$C$205,MATCH(C$5&amp;"_"&amp;114,Tareas!$N$6:$N$205,0),1)&amp;CHAR(10)&amp;INDEX(Tareas!$E$6:$E$205,MATCH(C$5&amp;"_"&amp;114,Tareas!$N$6:$N$205,0),1)&amp;CHAR(10)&amp;INDEX(Tareas!$O$6:$O$205,MATCH(C$5&amp;"_"&amp;114,Tareas!$N$6:$N$205,0),1))</x:f>
      </x:c>
      <x:c r="D119" s="21" t="str">
        <x:f>IF(114&gt;D$4,"",INDEX(Tareas!$A$6:$A$205,MATCH(D$5&amp;"_"&amp;114,Tareas!$N$6:$N$205,0),1)&amp;" · "&amp;INDEX(Tareas!$D$6:$D$205,MATCH(D$5&amp;"_"&amp;114,Tareas!$N$6:$N$205,0),1)&amp;CHAR(10)&amp;INDEX(Tareas!$C$6:$C$205,MATCH(D$5&amp;"_"&amp;114,Tareas!$N$6:$N$205,0),1)&amp;CHAR(10)&amp;INDEX(Tareas!$E$6:$E$205,MATCH(D$5&amp;"_"&amp;114,Tareas!$N$6:$N$205,0),1)&amp;CHAR(10)&amp;INDEX(Tareas!$O$6:$O$205,MATCH(D$5&amp;"_"&amp;114,Tareas!$N$6:$N$205,0),1))</x:f>
      </x:c>
      <x:c r="E119" s="21" t="str">
        <x:f>IF(114&gt;E$4,"",INDEX(Tareas!$A$6:$A$205,MATCH(E$5&amp;"_"&amp;114,Tareas!$N$6:$N$205,0),1)&amp;" · "&amp;INDEX(Tareas!$D$6:$D$205,MATCH(E$5&amp;"_"&amp;114,Tareas!$N$6:$N$205,0),1)&amp;CHAR(10)&amp;INDEX(Tareas!$C$6:$C$205,MATCH(E$5&amp;"_"&amp;114,Tareas!$N$6:$N$205,0),1)&amp;CHAR(10)&amp;INDEX(Tareas!$E$6:$E$205,MATCH(E$5&amp;"_"&amp;114,Tareas!$N$6:$N$205,0),1)&amp;CHAR(10)&amp;INDEX(Tareas!$O$6:$O$205,MATCH(E$5&amp;"_"&amp;114,Tareas!$N$6:$N$205,0),1))</x:f>
      </x:c>
      <x:c r="F119" s="21" t="str">
        <x:f>IF(114&gt;F$4,"",INDEX(Tareas!$A$6:$A$205,MATCH(F$5&amp;"_"&amp;114,Tareas!$N$6:$N$205,0),1)&amp;" · "&amp;INDEX(Tareas!$D$6:$D$205,MATCH(F$5&amp;"_"&amp;114,Tareas!$N$6:$N$205,0),1)&amp;CHAR(10)&amp;INDEX(Tareas!$C$6:$C$205,MATCH(F$5&amp;"_"&amp;114,Tareas!$N$6:$N$205,0),1)&amp;CHAR(10)&amp;INDEX(Tareas!$E$6:$E$205,MATCH(F$5&amp;"_"&amp;114,Tareas!$N$6:$N$205,0),1)&amp;CHAR(10)&amp;INDEX(Tareas!$O$6:$O$205,MATCH(F$5&amp;"_"&amp;114,Tareas!$N$6:$N$205,0),1))</x:f>
      </x:c>
    </x:row>
    <x:row r="120" ht="76" customHeight="1">
      <x:c r="A120" s="21" t="str">
        <x:f>IF(115&gt;A$4,"",INDEX(Tareas!$A$6:$A$205,MATCH(A$5&amp;"_"&amp;115,Tareas!$N$6:$N$205,0),1)&amp;" · "&amp;INDEX(Tareas!$D$6:$D$205,MATCH(A$5&amp;"_"&amp;115,Tareas!$N$6:$N$205,0),1)&amp;CHAR(10)&amp;INDEX(Tareas!$C$6:$C$205,MATCH(A$5&amp;"_"&amp;115,Tareas!$N$6:$N$205,0),1)&amp;CHAR(10)&amp;INDEX(Tareas!$E$6:$E$205,MATCH(A$5&amp;"_"&amp;115,Tareas!$N$6:$N$205,0),1)&amp;CHAR(10)&amp;INDEX(Tareas!$O$6:$O$205,MATCH(A$5&amp;"_"&amp;115,Tareas!$N$6:$N$205,0),1))</x:f>
      </x:c>
      <x:c r="B120" s="21" t="str">
        <x:f>IF(115&gt;B$4,"",INDEX(Tareas!$A$6:$A$205,MATCH(B$5&amp;"_"&amp;115,Tareas!$N$6:$N$205,0),1)&amp;" · "&amp;INDEX(Tareas!$D$6:$D$205,MATCH(B$5&amp;"_"&amp;115,Tareas!$N$6:$N$205,0),1)&amp;CHAR(10)&amp;INDEX(Tareas!$C$6:$C$205,MATCH(B$5&amp;"_"&amp;115,Tareas!$N$6:$N$205,0),1)&amp;CHAR(10)&amp;INDEX(Tareas!$E$6:$E$205,MATCH(B$5&amp;"_"&amp;115,Tareas!$N$6:$N$205,0),1)&amp;CHAR(10)&amp;INDEX(Tareas!$O$6:$O$205,MATCH(B$5&amp;"_"&amp;115,Tareas!$N$6:$N$205,0),1))</x:f>
      </x:c>
      <x:c r="C120" s="21" t="str">
        <x:f>IF(115&gt;C$4,"",INDEX(Tareas!$A$6:$A$205,MATCH(C$5&amp;"_"&amp;115,Tareas!$N$6:$N$205,0),1)&amp;" · "&amp;INDEX(Tareas!$D$6:$D$205,MATCH(C$5&amp;"_"&amp;115,Tareas!$N$6:$N$205,0),1)&amp;CHAR(10)&amp;INDEX(Tareas!$C$6:$C$205,MATCH(C$5&amp;"_"&amp;115,Tareas!$N$6:$N$205,0),1)&amp;CHAR(10)&amp;INDEX(Tareas!$E$6:$E$205,MATCH(C$5&amp;"_"&amp;115,Tareas!$N$6:$N$205,0),1)&amp;CHAR(10)&amp;INDEX(Tareas!$O$6:$O$205,MATCH(C$5&amp;"_"&amp;115,Tareas!$N$6:$N$205,0),1))</x:f>
      </x:c>
      <x:c r="D120" s="21" t="str">
        <x:f>IF(115&gt;D$4,"",INDEX(Tareas!$A$6:$A$205,MATCH(D$5&amp;"_"&amp;115,Tareas!$N$6:$N$205,0),1)&amp;" · "&amp;INDEX(Tareas!$D$6:$D$205,MATCH(D$5&amp;"_"&amp;115,Tareas!$N$6:$N$205,0),1)&amp;CHAR(10)&amp;INDEX(Tareas!$C$6:$C$205,MATCH(D$5&amp;"_"&amp;115,Tareas!$N$6:$N$205,0),1)&amp;CHAR(10)&amp;INDEX(Tareas!$E$6:$E$205,MATCH(D$5&amp;"_"&amp;115,Tareas!$N$6:$N$205,0),1)&amp;CHAR(10)&amp;INDEX(Tareas!$O$6:$O$205,MATCH(D$5&amp;"_"&amp;115,Tareas!$N$6:$N$205,0),1))</x:f>
      </x:c>
      <x:c r="E120" s="21" t="str">
        <x:f>IF(115&gt;E$4,"",INDEX(Tareas!$A$6:$A$205,MATCH(E$5&amp;"_"&amp;115,Tareas!$N$6:$N$205,0),1)&amp;" · "&amp;INDEX(Tareas!$D$6:$D$205,MATCH(E$5&amp;"_"&amp;115,Tareas!$N$6:$N$205,0),1)&amp;CHAR(10)&amp;INDEX(Tareas!$C$6:$C$205,MATCH(E$5&amp;"_"&amp;115,Tareas!$N$6:$N$205,0),1)&amp;CHAR(10)&amp;INDEX(Tareas!$E$6:$E$205,MATCH(E$5&amp;"_"&amp;115,Tareas!$N$6:$N$205,0),1)&amp;CHAR(10)&amp;INDEX(Tareas!$O$6:$O$205,MATCH(E$5&amp;"_"&amp;115,Tareas!$N$6:$N$205,0),1))</x:f>
      </x:c>
      <x:c r="F120" s="21" t="str">
        <x:f>IF(115&gt;F$4,"",INDEX(Tareas!$A$6:$A$205,MATCH(F$5&amp;"_"&amp;115,Tareas!$N$6:$N$205,0),1)&amp;" · "&amp;INDEX(Tareas!$D$6:$D$205,MATCH(F$5&amp;"_"&amp;115,Tareas!$N$6:$N$205,0),1)&amp;CHAR(10)&amp;INDEX(Tareas!$C$6:$C$205,MATCH(F$5&amp;"_"&amp;115,Tareas!$N$6:$N$205,0),1)&amp;CHAR(10)&amp;INDEX(Tareas!$E$6:$E$205,MATCH(F$5&amp;"_"&amp;115,Tareas!$N$6:$N$205,0),1)&amp;CHAR(10)&amp;INDEX(Tareas!$O$6:$O$205,MATCH(F$5&amp;"_"&amp;115,Tareas!$N$6:$N$205,0),1))</x:f>
      </x:c>
    </x:row>
    <x:row r="121" ht="76" customHeight="1">
      <x:c r="A121" s="21" t="str">
        <x:f>IF(116&gt;A$4,"",INDEX(Tareas!$A$6:$A$205,MATCH(A$5&amp;"_"&amp;116,Tareas!$N$6:$N$205,0),1)&amp;" · "&amp;INDEX(Tareas!$D$6:$D$205,MATCH(A$5&amp;"_"&amp;116,Tareas!$N$6:$N$205,0),1)&amp;CHAR(10)&amp;INDEX(Tareas!$C$6:$C$205,MATCH(A$5&amp;"_"&amp;116,Tareas!$N$6:$N$205,0),1)&amp;CHAR(10)&amp;INDEX(Tareas!$E$6:$E$205,MATCH(A$5&amp;"_"&amp;116,Tareas!$N$6:$N$205,0),1)&amp;CHAR(10)&amp;INDEX(Tareas!$O$6:$O$205,MATCH(A$5&amp;"_"&amp;116,Tareas!$N$6:$N$205,0),1))</x:f>
      </x:c>
      <x:c r="B121" s="21" t="str">
        <x:f>IF(116&gt;B$4,"",INDEX(Tareas!$A$6:$A$205,MATCH(B$5&amp;"_"&amp;116,Tareas!$N$6:$N$205,0),1)&amp;" · "&amp;INDEX(Tareas!$D$6:$D$205,MATCH(B$5&amp;"_"&amp;116,Tareas!$N$6:$N$205,0),1)&amp;CHAR(10)&amp;INDEX(Tareas!$C$6:$C$205,MATCH(B$5&amp;"_"&amp;116,Tareas!$N$6:$N$205,0),1)&amp;CHAR(10)&amp;INDEX(Tareas!$E$6:$E$205,MATCH(B$5&amp;"_"&amp;116,Tareas!$N$6:$N$205,0),1)&amp;CHAR(10)&amp;INDEX(Tareas!$O$6:$O$205,MATCH(B$5&amp;"_"&amp;116,Tareas!$N$6:$N$205,0),1))</x:f>
      </x:c>
      <x:c r="C121" s="21" t="str">
        <x:f>IF(116&gt;C$4,"",INDEX(Tareas!$A$6:$A$205,MATCH(C$5&amp;"_"&amp;116,Tareas!$N$6:$N$205,0),1)&amp;" · "&amp;INDEX(Tareas!$D$6:$D$205,MATCH(C$5&amp;"_"&amp;116,Tareas!$N$6:$N$205,0),1)&amp;CHAR(10)&amp;INDEX(Tareas!$C$6:$C$205,MATCH(C$5&amp;"_"&amp;116,Tareas!$N$6:$N$205,0),1)&amp;CHAR(10)&amp;INDEX(Tareas!$E$6:$E$205,MATCH(C$5&amp;"_"&amp;116,Tareas!$N$6:$N$205,0),1)&amp;CHAR(10)&amp;INDEX(Tareas!$O$6:$O$205,MATCH(C$5&amp;"_"&amp;116,Tareas!$N$6:$N$205,0),1))</x:f>
      </x:c>
      <x:c r="D121" s="21" t="str">
        <x:f>IF(116&gt;D$4,"",INDEX(Tareas!$A$6:$A$205,MATCH(D$5&amp;"_"&amp;116,Tareas!$N$6:$N$205,0),1)&amp;" · "&amp;INDEX(Tareas!$D$6:$D$205,MATCH(D$5&amp;"_"&amp;116,Tareas!$N$6:$N$205,0),1)&amp;CHAR(10)&amp;INDEX(Tareas!$C$6:$C$205,MATCH(D$5&amp;"_"&amp;116,Tareas!$N$6:$N$205,0),1)&amp;CHAR(10)&amp;INDEX(Tareas!$E$6:$E$205,MATCH(D$5&amp;"_"&amp;116,Tareas!$N$6:$N$205,0),1)&amp;CHAR(10)&amp;INDEX(Tareas!$O$6:$O$205,MATCH(D$5&amp;"_"&amp;116,Tareas!$N$6:$N$205,0),1))</x:f>
      </x:c>
      <x:c r="E121" s="21" t="str">
        <x:f>IF(116&gt;E$4,"",INDEX(Tareas!$A$6:$A$205,MATCH(E$5&amp;"_"&amp;116,Tareas!$N$6:$N$205,0),1)&amp;" · "&amp;INDEX(Tareas!$D$6:$D$205,MATCH(E$5&amp;"_"&amp;116,Tareas!$N$6:$N$205,0),1)&amp;CHAR(10)&amp;INDEX(Tareas!$C$6:$C$205,MATCH(E$5&amp;"_"&amp;116,Tareas!$N$6:$N$205,0),1)&amp;CHAR(10)&amp;INDEX(Tareas!$E$6:$E$205,MATCH(E$5&amp;"_"&amp;116,Tareas!$N$6:$N$205,0),1)&amp;CHAR(10)&amp;INDEX(Tareas!$O$6:$O$205,MATCH(E$5&amp;"_"&amp;116,Tareas!$N$6:$N$205,0),1))</x:f>
      </x:c>
      <x:c r="F121" s="21" t="str">
        <x:f>IF(116&gt;F$4,"",INDEX(Tareas!$A$6:$A$205,MATCH(F$5&amp;"_"&amp;116,Tareas!$N$6:$N$205,0),1)&amp;" · "&amp;INDEX(Tareas!$D$6:$D$205,MATCH(F$5&amp;"_"&amp;116,Tareas!$N$6:$N$205,0),1)&amp;CHAR(10)&amp;INDEX(Tareas!$C$6:$C$205,MATCH(F$5&amp;"_"&amp;116,Tareas!$N$6:$N$205,0),1)&amp;CHAR(10)&amp;INDEX(Tareas!$E$6:$E$205,MATCH(F$5&amp;"_"&amp;116,Tareas!$N$6:$N$205,0),1)&amp;CHAR(10)&amp;INDEX(Tareas!$O$6:$O$205,MATCH(F$5&amp;"_"&amp;116,Tareas!$N$6:$N$205,0),1))</x:f>
      </x:c>
    </x:row>
    <x:row r="122" ht="76" customHeight="1">
      <x:c r="A122" s="21" t="str">
        <x:f>IF(117&gt;A$4,"",INDEX(Tareas!$A$6:$A$205,MATCH(A$5&amp;"_"&amp;117,Tareas!$N$6:$N$205,0),1)&amp;" · "&amp;INDEX(Tareas!$D$6:$D$205,MATCH(A$5&amp;"_"&amp;117,Tareas!$N$6:$N$205,0),1)&amp;CHAR(10)&amp;INDEX(Tareas!$C$6:$C$205,MATCH(A$5&amp;"_"&amp;117,Tareas!$N$6:$N$205,0),1)&amp;CHAR(10)&amp;INDEX(Tareas!$E$6:$E$205,MATCH(A$5&amp;"_"&amp;117,Tareas!$N$6:$N$205,0),1)&amp;CHAR(10)&amp;INDEX(Tareas!$O$6:$O$205,MATCH(A$5&amp;"_"&amp;117,Tareas!$N$6:$N$205,0),1))</x:f>
      </x:c>
      <x:c r="B122" s="21" t="str">
        <x:f>IF(117&gt;B$4,"",INDEX(Tareas!$A$6:$A$205,MATCH(B$5&amp;"_"&amp;117,Tareas!$N$6:$N$205,0),1)&amp;" · "&amp;INDEX(Tareas!$D$6:$D$205,MATCH(B$5&amp;"_"&amp;117,Tareas!$N$6:$N$205,0),1)&amp;CHAR(10)&amp;INDEX(Tareas!$C$6:$C$205,MATCH(B$5&amp;"_"&amp;117,Tareas!$N$6:$N$205,0),1)&amp;CHAR(10)&amp;INDEX(Tareas!$E$6:$E$205,MATCH(B$5&amp;"_"&amp;117,Tareas!$N$6:$N$205,0),1)&amp;CHAR(10)&amp;INDEX(Tareas!$O$6:$O$205,MATCH(B$5&amp;"_"&amp;117,Tareas!$N$6:$N$205,0),1))</x:f>
      </x:c>
      <x:c r="C122" s="21" t="str">
        <x:f>IF(117&gt;C$4,"",INDEX(Tareas!$A$6:$A$205,MATCH(C$5&amp;"_"&amp;117,Tareas!$N$6:$N$205,0),1)&amp;" · "&amp;INDEX(Tareas!$D$6:$D$205,MATCH(C$5&amp;"_"&amp;117,Tareas!$N$6:$N$205,0),1)&amp;CHAR(10)&amp;INDEX(Tareas!$C$6:$C$205,MATCH(C$5&amp;"_"&amp;117,Tareas!$N$6:$N$205,0),1)&amp;CHAR(10)&amp;INDEX(Tareas!$E$6:$E$205,MATCH(C$5&amp;"_"&amp;117,Tareas!$N$6:$N$205,0),1)&amp;CHAR(10)&amp;INDEX(Tareas!$O$6:$O$205,MATCH(C$5&amp;"_"&amp;117,Tareas!$N$6:$N$205,0),1))</x:f>
      </x:c>
      <x:c r="D122" s="21" t="str">
        <x:f>IF(117&gt;D$4,"",INDEX(Tareas!$A$6:$A$205,MATCH(D$5&amp;"_"&amp;117,Tareas!$N$6:$N$205,0),1)&amp;" · "&amp;INDEX(Tareas!$D$6:$D$205,MATCH(D$5&amp;"_"&amp;117,Tareas!$N$6:$N$205,0),1)&amp;CHAR(10)&amp;INDEX(Tareas!$C$6:$C$205,MATCH(D$5&amp;"_"&amp;117,Tareas!$N$6:$N$205,0),1)&amp;CHAR(10)&amp;INDEX(Tareas!$E$6:$E$205,MATCH(D$5&amp;"_"&amp;117,Tareas!$N$6:$N$205,0),1)&amp;CHAR(10)&amp;INDEX(Tareas!$O$6:$O$205,MATCH(D$5&amp;"_"&amp;117,Tareas!$N$6:$N$205,0),1))</x:f>
      </x:c>
      <x:c r="E122" s="21" t="str">
        <x:f>IF(117&gt;E$4,"",INDEX(Tareas!$A$6:$A$205,MATCH(E$5&amp;"_"&amp;117,Tareas!$N$6:$N$205,0),1)&amp;" · "&amp;INDEX(Tareas!$D$6:$D$205,MATCH(E$5&amp;"_"&amp;117,Tareas!$N$6:$N$205,0),1)&amp;CHAR(10)&amp;INDEX(Tareas!$C$6:$C$205,MATCH(E$5&amp;"_"&amp;117,Tareas!$N$6:$N$205,0),1)&amp;CHAR(10)&amp;INDEX(Tareas!$E$6:$E$205,MATCH(E$5&amp;"_"&amp;117,Tareas!$N$6:$N$205,0),1)&amp;CHAR(10)&amp;INDEX(Tareas!$O$6:$O$205,MATCH(E$5&amp;"_"&amp;117,Tareas!$N$6:$N$205,0),1))</x:f>
      </x:c>
      <x:c r="F122" s="21" t="str">
        <x:f>IF(117&gt;F$4,"",INDEX(Tareas!$A$6:$A$205,MATCH(F$5&amp;"_"&amp;117,Tareas!$N$6:$N$205,0),1)&amp;" · "&amp;INDEX(Tareas!$D$6:$D$205,MATCH(F$5&amp;"_"&amp;117,Tareas!$N$6:$N$205,0),1)&amp;CHAR(10)&amp;INDEX(Tareas!$C$6:$C$205,MATCH(F$5&amp;"_"&amp;117,Tareas!$N$6:$N$205,0),1)&amp;CHAR(10)&amp;INDEX(Tareas!$E$6:$E$205,MATCH(F$5&amp;"_"&amp;117,Tareas!$N$6:$N$205,0),1)&amp;CHAR(10)&amp;INDEX(Tareas!$O$6:$O$205,MATCH(F$5&amp;"_"&amp;117,Tareas!$N$6:$N$205,0),1))</x:f>
      </x:c>
    </x:row>
    <x:row r="123" ht="76" customHeight="1">
      <x:c r="A123" s="21" t="str">
        <x:f>IF(118&gt;A$4,"",INDEX(Tareas!$A$6:$A$205,MATCH(A$5&amp;"_"&amp;118,Tareas!$N$6:$N$205,0),1)&amp;" · "&amp;INDEX(Tareas!$D$6:$D$205,MATCH(A$5&amp;"_"&amp;118,Tareas!$N$6:$N$205,0),1)&amp;CHAR(10)&amp;INDEX(Tareas!$C$6:$C$205,MATCH(A$5&amp;"_"&amp;118,Tareas!$N$6:$N$205,0),1)&amp;CHAR(10)&amp;INDEX(Tareas!$E$6:$E$205,MATCH(A$5&amp;"_"&amp;118,Tareas!$N$6:$N$205,0),1)&amp;CHAR(10)&amp;INDEX(Tareas!$O$6:$O$205,MATCH(A$5&amp;"_"&amp;118,Tareas!$N$6:$N$205,0),1))</x:f>
      </x:c>
      <x:c r="B123" s="21" t="str">
        <x:f>IF(118&gt;B$4,"",INDEX(Tareas!$A$6:$A$205,MATCH(B$5&amp;"_"&amp;118,Tareas!$N$6:$N$205,0),1)&amp;" · "&amp;INDEX(Tareas!$D$6:$D$205,MATCH(B$5&amp;"_"&amp;118,Tareas!$N$6:$N$205,0),1)&amp;CHAR(10)&amp;INDEX(Tareas!$C$6:$C$205,MATCH(B$5&amp;"_"&amp;118,Tareas!$N$6:$N$205,0),1)&amp;CHAR(10)&amp;INDEX(Tareas!$E$6:$E$205,MATCH(B$5&amp;"_"&amp;118,Tareas!$N$6:$N$205,0),1)&amp;CHAR(10)&amp;INDEX(Tareas!$O$6:$O$205,MATCH(B$5&amp;"_"&amp;118,Tareas!$N$6:$N$205,0),1))</x:f>
      </x:c>
      <x:c r="C123" s="21" t="str">
        <x:f>IF(118&gt;C$4,"",INDEX(Tareas!$A$6:$A$205,MATCH(C$5&amp;"_"&amp;118,Tareas!$N$6:$N$205,0),1)&amp;" · "&amp;INDEX(Tareas!$D$6:$D$205,MATCH(C$5&amp;"_"&amp;118,Tareas!$N$6:$N$205,0),1)&amp;CHAR(10)&amp;INDEX(Tareas!$C$6:$C$205,MATCH(C$5&amp;"_"&amp;118,Tareas!$N$6:$N$205,0),1)&amp;CHAR(10)&amp;INDEX(Tareas!$E$6:$E$205,MATCH(C$5&amp;"_"&amp;118,Tareas!$N$6:$N$205,0),1)&amp;CHAR(10)&amp;INDEX(Tareas!$O$6:$O$205,MATCH(C$5&amp;"_"&amp;118,Tareas!$N$6:$N$205,0),1))</x:f>
      </x:c>
      <x:c r="D123" s="21" t="str">
        <x:f>IF(118&gt;D$4,"",INDEX(Tareas!$A$6:$A$205,MATCH(D$5&amp;"_"&amp;118,Tareas!$N$6:$N$205,0),1)&amp;" · "&amp;INDEX(Tareas!$D$6:$D$205,MATCH(D$5&amp;"_"&amp;118,Tareas!$N$6:$N$205,0),1)&amp;CHAR(10)&amp;INDEX(Tareas!$C$6:$C$205,MATCH(D$5&amp;"_"&amp;118,Tareas!$N$6:$N$205,0),1)&amp;CHAR(10)&amp;INDEX(Tareas!$E$6:$E$205,MATCH(D$5&amp;"_"&amp;118,Tareas!$N$6:$N$205,0),1)&amp;CHAR(10)&amp;INDEX(Tareas!$O$6:$O$205,MATCH(D$5&amp;"_"&amp;118,Tareas!$N$6:$N$205,0),1))</x:f>
      </x:c>
      <x:c r="E123" s="21" t="str">
        <x:f>IF(118&gt;E$4,"",INDEX(Tareas!$A$6:$A$205,MATCH(E$5&amp;"_"&amp;118,Tareas!$N$6:$N$205,0),1)&amp;" · "&amp;INDEX(Tareas!$D$6:$D$205,MATCH(E$5&amp;"_"&amp;118,Tareas!$N$6:$N$205,0),1)&amp;CHAR(10)&amp;INDEX(Tareas!$C$6:$C$205,MATCH(E$5&amp;"_"&amp;118,Tareas!$N$6:$N$205,0),1)&amp;CHAR(10)&amp;INDEX(Tareas!$E$6:$E$205,MATCH(E$5&amp;"_"&amp;118,Tareas!$N$6:$N$205,0),1)&amp;CHAR(10)&amp;INDEX(Tareas!$O$6:$O$205,MATCH(E$5&amp;"_"&amp;118,Tareas!$N$6:$N$205,0),1))</x:f>
      </x:c>
      <x:c r="F123" s="21" t="str">
        <x:f>IF(118&gt;F$4,"",INDEX(Tareas!$A$6:$A$205,MATCH(F$5&amp;"_"&amp;118,Tareas!$N$6:$N$205,0),1)&amp;" · "&amp;INDEX(Tareas!$D$6:$D$205,MATCH(F$5&amp;"_"&amp;118,Tareas!$N$6:$N$205,0),1)&amp;CHAR(10)&amp;INDEX(Tareas!$C$6:$C$205,MATCH(F$5&amp;"_"&amp;118,Tareas!$N$6:$N$205,0),1)&amp;CHAR(10)&amp;INDEX(Tareas!$E$6:$E$205,MATCH(F$5&amp;"_"&amp;118,Tareas!$N$6:$N$205,0),1)&amp;CHAR(10)&amp;INDEX(Tareas!$O$6:$O$205,MATCH(F$5&amp;"_"&amp;118,Tareas!$N$6:$N$205,0),1))</x:f>
      </x:c>
    </x:row>
    <x:row r="124" ht="76" customHeight="1">
      <x:c r="A124" s="21" t="str">
        <x:f>IF(119&gt;A$4,"",INDEX(Tareas!$A$6:$A$205,MATCH(A$5&amp;"_"&amp;119,Tareas!$N$6:$N$205,0),1)&amp;" · "&amp;INDEX(Tareas!$D$6:$D$205,MATCH(A$5&amp;"_"&amp;119,Tareas!$N$6:$N$205,0),1)&amp;CHAR(10)&amp;INDEX(Tareas!$C$6:$C$205,MATCH(A$5&amp;"_"&amp;119,Tareas!$N$6:$N$205,0),1)&amp;CHAR(10)&amp;INDEX(Tareas!$E$6:$E$205,MATCH(A$5&amp;"_"&amp;119,Tareas!$N$6:$N$205,0),1)&amp;CHAR(10)&amp;INDEX(Tareas!$O$6:$O$205,MATCH(A$5&amp;"_"&amp;119,Tareas!$N$6:$N$205,0),1))</x:f>
      </x:c>
      <x:c r="B124" s="21" t="str">
        <x:f>IF(119&gt;B$4,"",INDEX(Tareas!$A$6:$A$205,MATCH(B$5&amp;"_"&amp;119,Tareas!$N$6:$N$205,0),1)&amp;" · "&amp;INDEX(Tareas!$D$6:$D$205,MATCH(B$5&amp;"_"&amp;119,Tareas!$N$6:$N$205,0),1)&amp;CHAR(10)&amp;INDEX(Tareas!$C$6:$C$205,MATCH(B$5&amp;"_"&amp;119,Tareas!$N$6:$N$205,0),1)&amp;CHAR(10)&amp;INDEX(Tareas!$E$6:$E$205,MATCH(B$5&amp;"_"&amp;119,Tareas!$N$6:$N$205,0),1)&amp;CHAR(10)&amp;INDEX(Tareas!$O$6:$O$205,MATCH(B$5&amp;"_"&amp;119,Tareas!$N$6:$N$205,0),1))</x:f>
      </x:c>
      <x:c r="C124" s="21" t="str">
        <x:f>IF(119&gt;C$4,"",INDEX(Tareas!$A$6:$A$205,MATCH(C$5&amp;"_"&amp;119,Tareas!$N$6:$N$205,0),1)&amp;" · "&amp;INDEX(Tareas!$D$6:$D$205,MATCH(C$5&amp;"_"&amp;119,Tareas!$N$6:$N$205,0),1)&amp;CHAR(10)&amp;INDEX(Tareas!$C$6:$C$205,MATCH(C$5&amp;"_"&amp;119,Tareas!$N$6:$N$205,0),1)&amp;CHAR(10)&amp;INDEX(Tareas!$E$6:$E$205,MATCH(C$5&amp;"_"&amp;119,Tareas!$N$6:$N$205,0),1)&amp;CHAR(10)&amp;INDEX(Tareas!$O$6:$O$205,MATCH(C$5&amp;"_"&amp;119,Tareas!$N$6:$N$205,0),1))</x:f>
      </x:c>
      <x:c r="D124" s="21" t="str">
        <x:f>IF(119&gt;D$4,"",INDEX(Tareas!$A$6:$A$205,MATCH(D$5&amp;"_"&amp;119,Tareas!$N$6:$N$205,0),1)&amp;" · "&amp;INDEX(Tareas!$D$6:$D$205,MATCH(D$5&amp;"_"&amp;119,Tareas!$N$6:$N$205,0),1)&amp;CHAR(10)&amp;INDEX(Tareas!$C$6:$C$205,MATCH(D$5&amp;"_"&amp;119,Tareas!$N$6:$N$205,0),1)&amp;CHAR(10)&amp;INDEX(Tareas!$E$6:$E$205,MATCH(D$5&amp;"_"&amp;119,Tareas!$N$6:$N$205,0),1)&amp;CHAR(10)&amp;INDEX(Tareas!$O$6:$O$205,MATCH(D$5&amp;"_"&amp;119,Tareas!$N$6:$N$205,0),1))</x:f>
      </x:c>
      <x:c r="E124" s="21" t="str">
        <x:f>IF(119&gt;E$4,"",INDEX(Tareas!$A$6:$A$205,MATCH(E$5&amp;"_"&amp;119,Tareas!$N$6:$N$205,0),1)&amp;" · "&amp;INDEX(Tareas!$D$6:$D$205,MATCH(E$5&amp;"_"&amp;119,Tareas!$N$6:$N$205,0),1)&amp;CHAR(10)&amp;INDEX(Tareas!$C$6:$C$205,MATCH(E$5&amp;"_"&amp;119,Tareas!$N$6:$N$205,0),1)&amp;CHAR(10)&amp;INDEX(Tareas!$E$6:$E$205,MATCH(E$5&amp;"_"&amp;119,Tareas!$N$6:$N$205,0),1)&amp;CHAR(10)&amp;INDEX(Tareas!$O$6:$O$205,MATCH(E$5&amp;"_"&amp;119,Tareas!$N$6:$N$205,0),1))</x:f>
      </x:c>
      <x:c r="F124" s="21" t="str">
        <x:f>IF(119&gt;F$4,"",INDEX(Tareas!$A$6:$A$205,MATCH(F$5&amp;"_"&amp;119,Tareas!$N$6:$N$205,0),1)&amp;" · "&amp;INDEX(Tareas!$D$6:$D$205,MATCH(F$5&amp;"_"&amp;119,Tareas!$N$6:$N$205,0),1)&amp;CHAR(10)&amp;INDEX(Tareas!$C$6:$C$205,MATCH(F$5&amp;"_"&amp;119,Tareas!$N$6:$N$205,0),1)&amp;CHAR(10)&amp;INDEX(Tareas!$E$6:$E$205,MATCH(F$5&amp;"_"&amp;119,Tareas!$N$6:$N$205,0),1)&amp;CHAR(10)&amp;INDEX(Tareas!$O$6:$O$205,MATCH(F$5&amp;"_"&amp;119,Tareas!$N$6:$N$205,0),1))</x:f>
      </x:c>
    </x:row>
    <x:row r="125" ht="76" customHeight="1">
      <x:c r="A125" s="21" t="str">
        <x:f>IF(120&gt;A$4,"",INDEX(Tareas!$A$6:$A$205,MATCH(A$5&amp;"_"&amp;120,Tareas!$N$6:$N$205,0),1)&amp;" · "&amp;INDEX(Tareas!$D$6:$D$205,MATCH(A$5&amp;"_"&amp;120,Tareas!$N$6:$N$205,0),1)&amp;CHAR(10)&amp;INDEX(Tareas!$C$6:$C$205,MATCH(A$5&amp;"_"&amp;120,Tareas!$N$6:$N$205,0),1)&amp;CHAR(10)&amp;INDEX(Tareas!$E$6:$E$205,MATCH(A$5&amp;"_"&amp;120,Tareas!$N$6:$N$205,0),1)&amp;CHAR(10)&amp;INDEX(Tareas!$O$6:$O$205,MATCH(A$5&amp;"_"&amp;120,Tareas!$N$6:$N$205,0),1))</x:f>
      </x:c>
      <x:c r="B125" s="21" t="str">
        <x:f>IF(120&gt;B$4,"",INDEX(Tareas!$A$6:$A$205,MATCH(B$5&amp;"_"&amp;120,Tareas!$N$6:$N$205,0),1)&amp;" · "&amp;INDEX(Tareas!$D$6:$D$205,MATCH(B$5&amp;"_"&amp;120,Tareas!$N$6:$N$205,0),1)&amp;CHAR(10)&amp;INDEX(Tareas!$C$6:$C$205,MATCH(B$5&amp;"_"&amp;120,Tareas!$N$6:$N$205,0),1)&amp;CHAR(10)&amp;INDEX(Tareas!$E$6:$E$205,MATCH(B$5&amp;"_"&amp;120,Tareas!$N$6:$N$205,0),1)&amp;CHAR(10)&amp;INDEX(Tareas!$O$6:$O$205,MATCH(B$5&amp;"_"&amp;120,Tareas!$N$6:$N$205,0),1))</x:f>
      </x:c>
      <x:c r="C125" s="21" t="str">
        <x:f>IF(120&gt;C$4,"",INDEX(Tareas!$A$6:$A$205,MATCH(C$5&amp;"_"&amp;120,Tareas!$N$6:$N$205,0),1)&amp;" · "&amp;INDEX(Tareas!$D$6:$D$205,MATCH(C$5&amp;"_"&amp;120,Tareas!$N$6:$N$205,0),1)&amp;CHAR(10)&amp;INDEX(Tareas!$C$6:$C$205,MATCH(C$5&amp;"_"&amp;120,Tareas!$N$6:$N$205,0),1)&amp;CHAR(10)&amp;INDEX(Tareas!$E$6:$E$205,MATCH(C$5&amp;"_"&amp;120,Tareas!$N$6:$N$205,0),1)&amp;CHAR(10)&amp;INDEX(Tareas!$O$6:$O$205,MATCH(C$5&amp;"_"&amp;120,Tareas!$N$6:$N$205,0),1))</x:f>
      </x:c>
      <x:c r="D125" s="21" t="str">
        <x:f>IF(120&gt;D$4,"",INDEX(Tareas!$A$6:$A$205,MATCH(D$5&amp;"_"&amp;120,Tareas!$N$6:$N$205,0),1)&amp;" · "&amp;INDEX(Tareas!$D$6:$D$205,MATCH(D$5&amp;"_"&amp;120,Tareas!$N$6:$N$205,0),1)&amp;CHAR(10)&amp;INDEX(Tareas!$C$6:$C$205,MATCH(D$5&amp;"_"&amp;120,Tareas!$N$6:$N$205,0),1)&amp;CHAR(10)&amp;INDEX(Tareas!$E$6:$E$205,MATCH(D$5&amp;"_"&amp;120,Tareas!$N$6:$N$205,0),1)&amp;CHAR(10)&amp;INDEX(Tareas!$O$6:$O$205,MATCH(D$5&amp;"_"&amp;120,Tareas!$N$6:$N$205,0),1))</x:f>
      </x:c>
      <x:c r="E125" s="21" t="str">
        <x:f>IF(120&gt;E$4,"",INDEX(Tareas!$A$6:$A$205,MATCH(E$5&amp;"_"&amp;120,Tareas!$N$6:$N$205,0),1)&amp;" · "&amp;INDEX(Tareas!$D$6:$D$205,MATCH(E$5&amp;"_"&amp;120,Tareas!$N$6:$N$205,0),1)&amp;CHAR(10)&amp;INDEX(Tareas!$C$6:$C$205,MATCH(E$5&amp;"_"&amp;120,Tareas!$N$6:$N$205,0),1)&amp;CHAR(10)&amp;INDEX(Tareas!$E$6:$E$205,MATCH(E$5&amp;"_"&amp;120,Tareas!$N$6:$N$205,0),1)&amp;CHAR(10)&amp;INDEX(Tareas!$O$6:$O$205,MATCH(E$5&amp;"_"&amp;120,Tareas!$N$6:$N$205,0),1))</x:f>
      </x:c>
      <x:c r="F125" s="21" t="str">
        <x:f>IF(120&gt;F$4,"",INDEX(Tareas!$A$6:$A$205,MATCH(F$5&amp;"_"&amp;120,Tareas!$N$6:$N$205,0),1)&amp;" · "&amp;INDEX(Tareas!$D$6:$D$205,MATCH(F$5&amp;"_"&amp;120,Tareas!$N$6:$N$205,0),1)&amp;CHAR(10)&amp;INDEX(Tareas!$C$6:$C$205,MATCH(F$5&amp;"_"&amp;120,Tareas!$N$6:$N$205,0),1)&amp;CHAR(10)&amp;INDEX(Tareas!$E$6:$E$205,MATCH(F$5&amp;"_"&amp;120,Tareas!$N$6:$N$205,0),1)&amp;CHAR(10)&amp;INDEX(Tareas!$O$6:$O$205,MATCH(F$5&amp;"_"&amp;120,Tareas!$N$6:$N$205,0),1))</x:f>
      </x:c>
    </x:row>
    <x:row r="126" ht="76" customHeight="1">
      <x:c r="A126" s="21" t="str">
        <x:f>IF(121&gt;A$4,"",INDEX(Tareas!$A$6:$A$205,MATCH(A$5&amp;"_"&amp;121,Tareas!$N$6:$N$205,0),1)&amp;" · "&amp;INDEX(Tareas!$D$6:$D$205,MATCH(A$5&amp;"_"&amp;121,Tareas!$N$6:$N$205,0),1)&amp;CHAR(10)&amp;INDEX(Tareas!$C$6:$C$205,MATCH(A$5&amp;"_"&amp;121,Tareas!$N$6:$N$205,0),1)&amp;CHAR(10)&amp;INDEX(Tareas!$E$6:$E$205,MATCH(A$5&amp;"_"&amp;121,Tareas!$N$6:$N$205,0),1)&amp;CHAR(10)&amp;INDEX(Tareas!$O$6:$O$205,MATCH(A$5&amp;"_"&amp;121,Tareas!$N$6:$N$205,0),1))</x:f>
      </x:c>
      <x:c r="B126" s="21" t="str">
        <x:f>IF(121&gt;B$4,"",INDEX(Tareas!$A$6:$A$205,MATCH(B$5&amp;"_"&amp;121,Tareas!$N$6:$N$205,0),1)&amp;" · "&amp;INDEX(Tareas!$D$6:$D$205,MATCH(B$5&amp;"_"&amp;121,Tareas!$N$6:$N$205,0),1)&amp;CHAR(10)&amp;INDEX(Tareas!$C$6:$C$205,MATCH(B$5&amp;"_"&amp;121,Tareas!$N$6:$N$205,0),1)&amp;CHAR(10)&amp;INDEX(Tareas!$E$6:$E$205,MATCH(B$5&amp;"_"&amp;121,Tareas!$N$6:$N$205,0),1)&amp;CHAR(10)&amp;INDEX(Tareas!$O$6:$O$205,MATCH(B$5&amp;"_"&amp;121,Tareas!$N$6:$N$205,0),1))</x:f>
      </x:c>
      <x:c r="C126" s="21" t="str">
        <x:f>IF(121&gt;C$4,"",INDEX(Tareas!$A$6:$A$205,MATCH(C$5&amp;"_"&amp;121,Tareas!$N$6:$N$205,0),1)&amp;" · "&amp;INDEX(Tareas!$D$6:$D$205,MATCH(C$5&amp;"_"&amp;121,Tareas!$N$6:$N$205,0),1)&amp;CHAR(10)&amp;INDEX(Tareas!$C$6:$C$205,MATCH(C$5&amp;"_"&amp;121,Tareas!$N$6:$N$205,0),1)&amp;CHAR(10)&amp;INDEX(Tareas!$E$6:$E$205,MATCH(C$5&amp;"_"&amp;121,Tareas!$N$6:$N$205,0),1)&amp;CHAR(10)&amp;INDEX(Tareas!$O$6:$O$205,MATCH(C$5&amp;"_"&amp;121,Tareas!$N$6:$N$205,0),1))</x:f>
      </x:c>
      <x:c r="D126" s="21" t="str">
        <x:f>IF(121&gt;D$4,"",INDEX(Tareas!$A$6:$A$205,MATCH(D$5&amp;"_"&amp;121,Tareas!$N$6:$N$205,0),1)&amp;" · "&amp;INDEX(Tareas!$D$6:$D$205,MATCH(D$5&amp;"_"&amp;121,Tareas!$N$6:$N$205,0),1)&amp;CHAR(10)&amp;INDEX(Tareas!$C$6:$C$205,MATCH(D$5&amp;"_"&amp;121,Tareas!$N$6:$N$205,0),1)&amp;CHAR(10)&amp;INDEX(Tareas!$E$6:$E$205,MATCH(D$5&amp;"_"&amp;121,Tareas!$N$6:$N$205,0),1)&amp;CHAR(10)&amp;INDEX(Tareas!$O$6:$O$205,MATCH(D$5&amp;"_"&amp;121,Tareas!$N$6:$N$205,0),1))</x:f>
      </x:c>
      <x:c r="E126" s="21" t="str">
        <x:f>IF(121&gt;E$4,"",INDEX(Tareas!$A$6:$A$205,MATCH(E$5&amp;"_"&amp;121,Tareas!$N$6:$N$205,0),1)&amp;" · "&amp;INDEX(Tareas!$D$6:$D$205,MATCH(E$5&amp;"_"&amp;121,Tareas!$N$6:$N$205,0),1)&amp;CHAR(10)&amp;INDEX(Tareas!$C$6:$C$205,MATCH(E$5&amp;"_"&amp;121,Tareas!$N$6:$N$205,0),1)&amp;CHAR(10)&amp;INDEX(Tareas!$E$6:$E$205,MATCH(E$5&amp;"_"&amp;121,Tareas!$N$6:$N$205,0),1)&amp;CHAR(10)&amp;INDEX(Tareas!$O$6:$O$205,MATCH(E$5&amp;"_"&amp;121,Tareas!$N$6:$N$205,0),1))</x:f>
      </x:c>
      <x:c r="F126" s="21" t="str">
        <x:f>IF(121&gt;F$4,"",INDEX(Tareas!$A$6:$A$205,MATCH(F$5&amp;"_"&amp;121,Tareas!$N$6:$N$205,0),1)&amp;" · "&amp;INDEX(Tareas!$D$6:$D$205,MATCH(F$5&amp;"_"&amp;121,Tareas!$N$6:$N$205,0),1)&amp;CHAR(10)&amp;INDEX(Tareas!$C$6:$C$205,MATCH(F$5&amp;"_"&amp;121,Tareas!$N$6:$N$205,0),1)&amp;CHAR(10)&amp;INDEX(Tareas!$E$6:$E$205,MATCH(F$5&amp;"_"&amp;121,Tareas!$N$6:$N$205,0),1)&amp;CHAR(10)&amp;INDEX(Tareas!$O$6:$O$205,MATCH(F$5&amp;"_"&amp;121,Tareas!$N$6:$N$205,0),1))</x:f>
      </x:c>
    </x:row>
    <x:row r="127" ht="76" customHeight="1">
      <x:c r="A127" s="21" t="str">
        <x:f>IF(122&gt;A$4,"",INDEX(Tareas!$A$6:$A$205,MATCH(A$5&amp;"_"&amp;122,Tareas!$N$6:$N$205,0),1)&amp;" · "&amp;INDEX(Tareas!$D$6:$D$205,MATCH(A$5&amp;"_"&amp;122,Tareas!$N$6:$N$205,0),1)&amp;CHAR(10)&amp;INDEX(Tareas!$C$6:$C$205,MATCH(A$5&amp;"_"&amp;122,Tareas!$N$6:$N$205,0),1)&amp;CHAR(10)&amp;INDEX(Tareas!$E$6:$E$205,MATCH(A$5&amp;"_"&amp;122,Tareas!$N$6:$N$205,0),1)&amp;CHAR(10)&amp;INDEX(Tareas!$O$6:$O$205,MATCH(A$5&amp;"_"&amp;122,Tareas!$N$6:$N$205,0),1))</x:f>
      </x:c>
      <x:c r="B127" s="21" t="str">
        <x:f>IF(122&gt;B$4,"",INDEX(Tareas!$A$6:$A$205,MATCH(B$5&amp;"_"&amp;122,Tareas!$N$6:$N$205,0),1)&amp;" · "&amp;INDEX(Tareas!$D$6:$D$205,MATCH(B$5&amp;"_"&amp;122,Tareas!$N$6:$N$205,0),1)&amp;CHAR(10)&amp;INDEX(Tareas!$C$6:$C$205,MATCH(B$5&amp;"_"&amp;122,Tareas!$N$6:$N$205,0),1)&amp;CHAR(10)&amp;INDEX(Tareas!$E$6:$E$205,MATCH(B$5&amp;"_"&amp;122,Tareas!$N$6:$N$205,0),1)&amp;CHAR(10)&amp;INDEX(Tareas!$O$6:$O$205,MATCH(B$5&amp;"_"&amp;122,Tareas!$N$6:$N$205,0),1))</x:f>
      </x:c>
      <x:c r="C127" s="21" t="str">
        <x:f>IF(122&gt;C$4,"",INDEX(Tareas!$A$6:$A$205,MATCH(C$5&amp;"_"&amp;122,Tareas!$N$6:$N$205,0),1)&amp;" · "&amp;INDEX(Tareas!$D$6:$D$205,MATCH(C$5&amp;"_"&amp;122,Tareas!$N$6:$N$205,0),1)&amp;CHAR(10)&amp;INDEX(Tareas!$C$6:$C$205,MATCH(C$5&amp;"_"&amp;122,Tareas!$N$6:$N$205,0),1)&amp;CHAR(10)&amp;INDEX(Tareas!$E$6:$E$205,MATCH(C$5&amp;"_"&amp;122,Tareas!$N$6:$N$205,0),1)&amp;CHAR(10)&amp;INDEX(Tareas!$O$6:$O$205,MATCH(C$5&amp;"_"&amp;122,Tareas!$N$6:$N$205,0),1))</x:f>
      </x:c>
      <x:c r="D127" s="21" t="str">
        <x:f>IF(122&gt;D$4,"",INDEX(Tareas!$A$6:$A$205,MATCH(D$5&amp;"_"&amp;122,Tareas!$N$6:$N$205,0),1)&amp;" · "&amp;INDEX(Tareas!$D$6:$D$205,MATCH(D$5&amp;"_"&amp;122,Tareas!$N$6:$N$205,0),1)&amp;CHAR(10)&amp;INDEX(Tareas!$C$6:$C$205,MATCH(D$5&amp;"_"&amp;122,Tareas!$N$6:$N$205,0),1)&amp;CHAR(10)&amp;INDEX(Tareas!$E$6:$E$205,MATCH(D$5&amp;"_"&amp;122,Tareas!$N$6:$N$205,0),1)&amp;CHAR(10)&amp;INDEX(Tareas!$O$6:$O$205,MATCH(D$5&amp;"_"&amp;122,Tareas!$N$6:$N$205,0),1))</x:f>
      </x:c>
      <x:c r="E127" s="21" t="str">
        <x:f>IF(122&gt;E$4,"",INDEX(Tareas!$A$6:$A$205,MATCH(E$5&amp;"_"&amp;122,Tareas!$N$6:$N$205,0),1)&amp;" · "&amp;INDEX(Tareas!$D$6:$D$205,MATCH(E$5&amp;"_"&amp;122,Tareas!$N$6:$N$205,0),1)&amp;CHAR(10)&amp;INDEX(Tareas!$C$6:$C$205,MATCH(E$5&amp;"_"&amp;122,Tareas!$N$6:$N$205,0),1)&amp;CHAR(10)&amp;INDEX(Tareas!$E$6:$E$205,MATCH(E$5&amp;"_"&amp;122,Tareas!$N$6:$N$205,0),1)&amp;CHAR(10)&amp;INDEX(Tareas!$O$6:$O$205,MATCH(E$5&amp;"_"&amp;122,Tareas!$N$6:$N$205,0),1))</x:f>
      </x:c>
      <x:c r="F127" s="21" t="str">
        <x:f>IF(122&gt;F$4,"",INDEX(Tareas!$A$6:$A$205,MATCH(F$5&amp;"_"&amp;122,Tareas!$N$6:$N$205,0),1)&amp;" · "&amp;INDEX(Tareas!$D$6:$D$205,MATCH(F$5&amp;"_"&amp;122,Tareas!$N$6:$N$205,0),1)&amp;CHAR(10)&amp;INDEX(Tareas!$C$6:$C$205,MATCH(F$5&amp;"_"&amp;122,Tareas!$N$6:$N$205,0),1)&amp;CHAR(10)&amp;INDEX(Tareas!$E$6:$E$205,MATCH(F$5&amp;"_"&amp;122,Tareas!$N$6:$N$205,0),1)&amp;CHAR(10)&amp;INDEX(Tareas!$O$6:$O$205,MATCH(F$5&amp;"_"&amp;122,Tareas!$N$6:$N$205,0),1))</x:f>
      </x:c>
    </x:row>
    <x:row r="128" ht="76" customHeight="1">
      <x:c r="A128" s="21" t="str">
        <x:f>IF(123&gt;A$4,"",INDEX(Tareas!$A$6:$A$205,MATCH(A$5&amp;"_"&amp;123,Tareas!$N$6:$N$205,0),1)&amp;" · "&amp;INDEX(Tareas!$D$6:$D$205,MATCH(A$5&amp;"_"&amp;123,Tareas!$N$6:$N$205,0),1)&amp;CHAR(10)&amp;INDEX(Tareas!$C$6:$C$205,MATCH(A$5&amp;"_"&amp;123,Tareas!$N$6:$N$205,0),1)&amp;CHAR(10)&amp;INDEX(Tareas!$E$6:$E$205,MATCH(A$5&amp;"_"&amp;123,Tareas!$N$6:$N$205,0),1)&amp;CHAR(10)&amp;INDEX(Tareas!$O$6:$O$205,MATCH(A$5&amp;"_"&amp;123,Tareas!$N$6:$N$205,0),1))</x:f>
      </x:c>
      <x:c r="B128" s="21" t="str">
        <x:f>IF(123&gt;B$4,"",INDEX(Tareas!$A$6:$A$205,MATCH(B$5&amp;"_"&amp;123,Tareas!$N$6:$N$205,0),1)&amp;" · "&amp;INDEX(Tareas!$D$6:$D$205,MATCH(B$5&amp;"_"&amp;123,Tareas!$N$6:$N$205,0),1)&amp;CHAR(10)&amp;INDEX(Tareas!$C$6:$C$205,MATCH(B$5&amp;"_"&amp;123,Tareas!$N$6:$N$205,0),1)&amp;CHAR(10)&amp;INDEX(Tareas!$E$6:$E$205,MATCH(B$5&amp;"_"&amp;123,Tareas!$N$6:$N$205,0),1)&amp;CHAR(10)&amp;INDEX(Tareas!$O$6:$O$205,MATCH(B$5&amp;"_"&amp;123,Tareas!$N$6:$N$205,0),1))</x:f>
      </x:c>
      <x:c r="C128" s="21" t="str">
        <x:f>IF(123&gt;C$4,"",INDEX(Tareas!$A$6:$A$205,MATCH(C$5&amp;"_"&amp;123,Tareas!$N$6:$N$205,0),1)&amp;" · "&amp;INDEX(Tareas!$D$6:$D$205,MATCH(C$5&amp;"_"&amp;123,Tareas!$N$6:$N$205,0),1)&amp;CHAR(10)&amp;INDEX(Tareas!$C$6:$C$205,MATCH(C$5&amp;"_"&amp;123,Tareas!$N$6:$N$205,0),1)&amp;CHAR(10)&amp;INDEX(Tareas!$E$6:$E$205,MATCH(C$5&amp;"_"&amp;123,Tareas!$N$6:$N$205,0),1)&amp;CHAR(10)&amp;INDEX(Tareas!$O$6:$O$205,MATCH(C$5&amp;"_"&amp;123,Tareas!$N$6:$N$205,0),1))</x:f>
      </x:c>
      <x:c r="D128" s="21" t="str">
        <x:f>IF(123&gt;D$4,"",INDEX(Tareas!$A$6:$A$205,MATCH(D$5&amp;"_"&amp;123,Tareas!$N$6:$N$205,0),1)&amp;" · "&amp;INDEX(Tareas!$D$6:$D$205,MATCH(D$5&amp;"_"&amp;123,Tareas!$N$6:$N$205,0),1)&amp;CHAR(10)&amp;INDEX(Tareas!$C$6:$C$205,MATCH(D$5&amp;"_"&amp;123,Tareas!$N$6:$N$205,0),1)&amp;CHAR(10)&amp;INDEX(Tareas!$E$6:$E$205,MATCH(D$5&amp;"_"&amp;123,Tareas!$N$6:$N$205,0),1)&amp;CHAR(10)&amp;INDEX(Tareas!$O$6:$O$205,MATCH(D$5&amp;"_"&amp;123,Tareas!$N$6:$N$205,0),1))</x:f>
      </x:c>
      <x:c r="E128" s="21" t="str">
        <x:f>IF(123&gt;E$4,"",INDEX(Tareas!$A$6:$A$205,MATCH(E$5&amp;"_"&amp;123,Tareas!$N$6:$N$205,0),1)&amp;" · "&amp;INDEX(Tareas!$D$6:$D$205,MATCH(E$5&amp;"_"&amp;123,Tareas!$N$6:$N$205,0),1)&amp;CHAR(10)&amp;INDEX(Tareas!$C$6:$C$205,MATCH(E$5&amp;"_"&amp;123,Tareas!$N$6:$N$205,0),1)&amp;CHAR(10)&amp;INDEX(Tareas!$E$6:$E$205,MATCH(E$5&amp;"_"&amp;123,Tareas!$N$6:$N$205,0),1)&amp;CHAR(10)&amp;INDEX(Tareas!$O$6:$O$205,MATCH(E$5&amp;"_"&amp;123,Tareas!$N$6:$N$205,0),1))</x:f>
      </x:c>
      <x:c r="F128" s="21" t="str">
        <x:f>IF(123&gt;F$4,"",INDEX(Tareas!$A$6:$A$205,MATCH(F$5&amp;"_"&amp;123,Tareas!$N$6:$N$205,0),1)&amp;" · "&amp;INDEX(Tareas!$D$6:$D$205,MATCH(F$5&amp;"_"&amp;123,Tareas!$N$6:$N$205,0),1)&amp;CHAR(10)&amp;INDEX(Tareas!$C$6:$C$205,MATCH(F$5&amp;"_"&amp;123,Tareas!$N$6:$N$205,0),1)&amp;CHAR(10)&amp;INDEX(Tareas!$E$6:$E$205,MATCH(F$5&amp;"_"&amp;123,Tareas!$N$6:$N$205,0),1)&amp;CHAR(10)&amp;INDEX(Tareas!$O$6:$O$205,MATCH(F$5&amp;"_"&amp;123,Tareas!$N$6:$N$205,0),1))</x:f>
      </x:c>
    </x:row>
    <x:row r="129" ht="76" customHeight="1">
      <x:c r="A129" s="21" t="str">
        <x:f>IF(124&gt;A$4,"",INDEX(Tareas!$A$6:$A$205,MATCH(A$5&amp;"_"&amp;124,Tareas!$N$6:$N$205,0),1)&amp;" · "&amp;INDEX(Tareas!$D$6:$D$205,MATCH(A$5&amp;"_"&amp;124,Tareas!$N$6:$N$205,0),1)&amp;CHAR(10)&amp;INDEX(Tareas!$C$6:$C$205,MATCH(A$5&amp;"_"&amp;124,Tareas!$N$6:$N$205,0),1)&amp;CHAR(10)&amp;INDEX(Tareas!$E$6:$E$205,MATCH(A$5&amp;"_"&amp;124,Tareas!$N$6:$N$205,0),1)&amp;CHAR(10)&amp;INDEX(Tareas!$O$6:$O$205,MATCH(A$5&amp;"_"&amp;124,Tareas!$N$6:$N$205,0),1))</x:f>
      </x:c>
      <x:c r="B129" s="21" t="str">
        <x:f>IF(124&gt;B$4,"",INDEX(Tareas!$A$6:$A$205,MATCH(B$5&amp;"_"&amp;124,Tareas!$N$6:$N$205,0),1)&amp;" · "&amp;INDEX(Tareas!$D$6:$D$205,MATCH(B$5&amp;"_"&amp;124,Tareas!$N$6:$N$205,0),1)&amp;CHAR(10)&amp;INDEX(Tareas!$C$6:$C$205,MATCH(B$5&amp;"_"&amp;124,Tareas!$N$6:$N$205,0),1)&amp;CHAR(10)&amp;INDEX(Tareas!$E$6:$E$205,MATCH(B$5&amp;"_"&amp;124,Tareas!$N$6:$N$205,0),1)&amp;CHAR(10)&amp;INDEX(Tareas!$O$6:$O$205,MATCH(B$5&amp;"_"&amp;124,Tareas!$N$6:$N$205,0),1))</x:f>
      </x:c>
      <x:c r="C129" s="21" t="str">
        <x:f>IF(124&gt;C$4,"",INDEX(Tareas!$A$6:$A$205,MATCH(C$5&amp;"_"&amp;124,Tareas!$N$6:$N$205,0),1)&amp;" · "&amp;INDEX(Tareas!$D$6:$D$205,MATCH(C$5&amp;"_"&amp;124,Tareas!$N$6:$N$205,0),1)&amp;CHAR(10)&amp;INDEX(Tareas!$C$6:$C$205,MATCH(C$5&amp;"_"&amp;124,Tareas!$N$6:$N$205,0),1)&amp;CHAR(10)&amp;INDEX(Tareas!$E$6:$E$205,MATCH(C$5&amp;"_"&amp;124,Tareas!$N$6:$N$205,0),1)&amp;CHAR(10)&amp;INDEX(Tareas!$O$6:$O$205,MATCH(C$5&amp;"_"&amp;124,Tareas!$N$6:$N$205,0),1))</x:f>
      </x:c>
      <x:c r="D129" s="21" t="str">
        <x:f>IF(124&gt;D$4,"",INDEX(Tareas!$A$6:$A$205,MATCH(D$5&amp;"_"&amp;124,Tareas!$N$6:$N$205,0),1)&amp;" · "&amp;INDEX(Tareas!$D$6:$D$205,MATCH(D$5&amp;"_"&amp;124,Tareas!$N$6:$N$205,0),1)&amp;CHAR(10)&amp;INDEX(Tareas!$C$6:$C$205,MATCH(D$5&amp;"_"&amp;124,Tareas!$N$6:$N$205,0),1)&amp;CHAR(10)&amp;INDEX(Tareas!$E$6:$E$205,MATCH(D$5&amp;"_"&amp;124,Tareas!$N$6:$N$205,0),1)&amp;CHAR(10)&amp;INDEX(Tareas!$O$6:$O$205,MATCH(D$5&amp;"_"&amp;124,Tareas!$N$6:$N$205,0),1))</x:f>
      </x:c>
      <x:c r="E129" s="21" t="str">
        <x:f>IF(124&gt;E$4,"",INDEX(Tareas!$A$6:$A$205,MATCH(E$5&amp;"_"&amp;124,Tareas!$N$6:$N$205,0),1)&amp;" · "&amp;INDEX(Tareas!$D$6:$D$205,MATCH(E$5&amp;"_"&amp;124,Tareas!$N$6:$N$205,0),1)&amp;CHAR(10)&amp;INDEX(Tareas!$C$6:$C$205,MATCH(E$5&amp;"_"&amp;124,Tareas!$N$6:$N$205,0),1)&amp;CHAR(10)&amp;INDEX(Tareas!$E$6:$E$205,MATCH(E$5&amp;"_"&amp;124,Tareas!$N$6:$N$205,0),1)&amp;CHAR(10)&amp;INDEX(Tareas!$O$6:$O$205,MATCH(E$5&amp;"_"&amp;124,Tareas!$N$6:$N$205,0),1))</x:f>
      </x:c>
      <x:c r="F129" s="21" t="str">
        <x:f>IF(124&gt;F$4,"",INDEX(Tareas!$A$6:$A$205,MATCH(F$5&amp;"_"&amp;124,Tareas!$N$6:$N$205,0),1)&amp;" · "&amp;INDEX(Tareas!$D$6:$D$205,MATCH(F$5&amp;"_"&amp;124,Tareas!$N$6:$N$205,0),1)&amp;CHAR(10)&amp;INDEX(Tareas!$C$6:$C$205,MATCH(F$5&amp;"_"&amp;124,Tareas!$N$6:$N$205,0),1)&amp;CHAR(10)&amp;INDEX(Tareas!$E$6:$E$205,MATCH(F$5&amp;"_"&amp;124,Tareas!$N$6:$N$205,0),1)&amp;CHAR(10)&amp;INDEX(Tareas!$O$6:$O$205,MATCH(F$5&amp;"_"&amp;124,Tareas!$N$6:$N$205,0),1))</x:f>
      </x:c>
    </x:row>
    <x:row r="130" ht="76" customHeight="1">
      <x:c r="A130" s="21" t="str">
        <x:f>IF(125&gt;A$4,"",INDEX(Tareas!$A$6:$A$205,MATCH(A$5&amp;"_"&amp;125,Tareas!$N$6:$N$205,0),1)&amp;" · "&amp;INDEX(Tareas!$D$6:$D$205,MATCH(A$5&amp;"_"&amp;125,Tareas!$N$6:$N$205,0),1)&amp;CHAR(10)&amp;INDEX(Tareas!$C$6:$C$205,MATCH(A$5&amp;"_"&amp;125,Tareas!$N$6:$N$205,0),1)&amp;CHAR(10)&amp;INDEX(Tareas!$E$6:$E$205,MATCH(A$5&amp;"_"&amp;125,Tareas!$N$6:$N$205,0),1)&amp;CHAR(10)&amp;INDEX(Tareas!$O$6:$O$205,MATCH(A$5&amp;"_"&amp;125,Tareas!$N$6:$N$205,0),1))</x:f>
      </x:c>
      <x:c r="B130" s="21" t="str">
        <x:f>IF(125&gt;B$4,"",INDEX(Tareas!$A$6:$A$205,MATCH(B$5&amp;"_"&amp;125,Tareas!$N$6:$N$205,0),1)&amp;" · "&amp;INDEX(Tareas!$D$6:$D$205,MATCH(B$5&amp;"_"&amp;125,Tareas!$N$6:$N$205,0),1)&amp;CHAR(10)&amp;INDEX(Tareas!$C$6:$C$205,MATCH(B$5&amp;"_"&amp;125,Tareas!$N$6:$N$205,0),1)&amp;CHAR(10)&amp;INDEX(Tareas!$E$6:$E$205,MATCH(B$5&amp;"_"&amp;125,Tareas!$N$6:$N$205,0),1)&amp;CHAR(10)&amp;INDEX(Tareas!$O$6:$O$205,MATCH(B$5&amp;"_"&amp;125,Tareas!$N$6:$N$205,0),1))</x:f>
      </x:c>
      <x:c r="C130" s="21" t="str">
        <x:f>IF(125&gt;C$4,"",INDEX(Tareas!$A$6:$A$205,MATCH(C$5&amp;"_"&amp;125,Tareas!$N$6:$N$205,0),1)&amp;" · "&amp;INDEX(Tareas!$D$6:$D$205,MATCH(C$5&amp;"_"&amp;125,Tareas!$N$6:$N$205,0),1)&amp;CHAR(10)&amp;INDEX(Tareas!$C$6:$C$205,MATCH(C$5&amp;"_"&amp;125,Tareas!$N$6:$N$205,0),1)&amp;CHAR(10)&amp;INDEX(Tareas!$E$6:$E$205,MATCH(C$5&amp;"_"&amp;125,Tareas!$N$6:$N$205,0),1)&amp;CHAR(10)&amp;INDEX(Tareas!$O$6:$O$205,MATCH(C$5&amp;"_"&amp;125,Tareas!$N$6:$N$205,0),1))</x:f>
      </x:c>
      <x:c r="D130" s="21" t="str">
        <x:f>IF(125&gt;D$4,"",INDEX(Tareas!$A$6:$A$205,MATCH(D$5&amp;"_"&amp;125,Tareas!$N$6:$N$205,0),1)&amp;" · "&amp;INDEX(Tareas!$D$6:$D$205,MATCH(D$5&amp;"_"&amp;125,Tareas!$N$6:$N$205,0),1)&amp;CHAR(10)&amp;INDEX(Tareas!$C$6:$C$205,MATCH(D$5&amp;"_"&amp;125,Tareas!$N$6:$N$205,0),1)&amp;CHAR(10)&amp;INDEX(Tareas!$E$6:$E$205,MATCH(D$5&amp;"_"&amp;125,Tareas!$N$6:$N$205,0),1)&amp;CHAR(10)&amp;INDEX(Tareas!$O$6:$O$205,MATCH(D$5&amp;"_"&amp;125,Tareas!$N$6:$N$205,0),1))</x:f>
      </x:c>
      <x:c r="E130" s="21" t="str">
        <x:f>IF(125&gt;E$4,"",INDEX(Tareas!$A$6:$A$205,MATCH(E$5&amp;"_"&amp;125,Tareas!$N$6:$N$205,0),1)&amp;" · "&amp;INDEX(Tareas!$D$6:$D$205,MATCH(E$5&amp;"_"&amp;125,Tareas!$N$6:$N$205,0),1)&amp;CHAR(10)&amp;INDEX(Tareas!$C$6:$C$205,MATCH(E$5&amp;"_"&amp;125,Tareas!$N$6:$N$205,0),1)&amp;CHAR(10)&amp;INDEX(Tareas!$E$6:$E$205,MATCH(E$5&amp;"_"&amp;125,Tareas!$N$6:$N$205,0),1)&amp;CHAR(10)&amp;INDEX(Tareas!$O$6:$O$205,MATCH(E$5&amp;"_"&amp;125,Tareas!$N$6:$N$205,0),1))</x:f>
      </x:c>
      <x:c r="F130" s="21" t="str">
        <x:f>IF(125&gt;F$4,"",INDEX(Tareas!$A$6:$A$205,MATCH(F$5&amp;"_"&amp;125,Tareas!$N$6:$N$205,0),1)&amp;" · "&amp;INDEX(Tareas!$D$6:$D$205,MATCH(F$5&amp;"_"&amp;125,Tareas!$N$6:$N$205,0),1)&amp;CHAR(10)&amp;INDEX(Tareas!$C$6:$C$205,MATCH(F$5&amp;"_"&amp;125,Tareas!$N$6:$N$205,0),1)&amp;CHAR(10)&amp;INDEX(Tareas!$E$6:$E$205,MATCH(F$5&amp;"_"&amp;125,Tareas!$N$6:$N$205,0),1)&amp;CHAR(10)&amp;INDEX(Tareas!$O$6:$O$205,MATCH(F$5&amp;"_"&amp;125,Tareas!$N$6:$N$205,0),1))</x:f>
      </x:c>
    </x:row>
    <x:row r="131" ht="76" customHeight="1">
      <x:c r="A131" s="21" t="str">
        <x:f>IF(126&gt;A$4,"",INDEX(Tareas!$A$6:$A$205,MATCH(A$5&amp;"_"&amp;126,Tareas!$N$6:$N$205,0),1)&amp;" · "&amp;INDEX(Tareas!$D$6:$D$205,MATCH(A$5&amp;"_"&amp;126,Tareas!$N$6:$N$205,0),1)&amp;CHAR(10)&amp;INDEX(Tareas!$C$6:$C$205,MATCH(A$5&amp;"_"&amp;126,Tareas!$N$6:$N$205,0),1)&amp;CHAR(10)&amp;INDEX(Tareas!$E$6:$E$205,MATCH(A$5&amp;"_"&amp;126,Tareas!$N$6:$N$205,0),1)&amp;CHAR(10)&amp;INDEX(Tareas!$O$6:$O$205,MATCH(A$5&amp;"_"&amp;126,Tareas!$N$6:$N$205,0),1))</x:f>
      </x:c>
      <x:c r="B131" s="21" t="str">
        <x:f>IF(126&gt;B$4,"",INDEX(Tareas!$A$6:$A$205,MATCH(B$5&amp;"_"&amp;126,Tareas!$N$6:$N$205,0),1)&amp;" · "&amp;INDEX(Tareas!$D$6:$D$205,MATCH(B$5&amp;"_"&amp;126,Tareas!$N$6:$N$205,0),1)&amp;CHAR(10)&amp;INDEX(Tareas!$C$6:$C$205,MATCH(B$5&amp;"_"&amp;126,Tareas!$N$6:$N$205,0),1)&amp;CHAR(10)&amp;INDEX(Tareas!$E$6:$E$205,MATCH(B$5&amp;"_"&amp;126,Tareas!$N$6:$N$205,0),1)&amp;CHAR(10)&amp;INDEX(Tareas!$O$6:$O$205,MATCH(B$5&amp;"_"&amp;126,Tareas!$N$6:$N$205,0),1))</x:f>
      </x:c>
      <x:c r="C131" s="21" t="str">
        <x:f>IF(126&gt;C$4,"",INDEX(Tareas!$A$6:$A$205,MATCH(C$5&amp;"_"&amp;126,Tareas!$N$6:$N$205,0),1)&amp;" · "&amp;INDEX(Tareas!$D$6:$D$205,MATCH(C$5&amp;"_"&amp;126,Tareas!$N$6:$N$205,0),1)&amp;CHAR(10)&amp;INDEX(Tareas!$C$6:$C$205,MATCH(C$5&amp;"_"&amp;126,Tareas!$N$6:$N$205,0),1)&amp;CHAR(10)&amp;INDEX(Tareas!$E$6:$E$205,MATCH(C$5&amp;"_"&amp;126,Tareas!$N$6:$N$205,0),1)&amp;CHAR(10)&amp;INDEX(Tareas!$O$6:$O$205,MATCH(C$5&amp;"_"&amp;126,Tareas!$N$6:$N$205,0),1))</x:f>
      </x:c>
      <x:c r="D131" s="21" t="str">
        <x:f>IF(126&gt;D$4,"",INDEX(Tareas!$A$6:$A$205,MATCH(D$5&amp;"_"&amp;126,Tareas!$N$6:$N$205,0),1)&amp;" · "&amp;INDEX(Tareas!$D$6:$D$205,MATCH(D$5&amp;"_"&amp;126,Tareas!$N$6:$N$205,0),1)&amp;CHAR(10)&amp;INDEX(Tareas!$C$6:$C$205,MATCH(D$5&amp;"_"&amp;126,Tareas!$N$6:$N$205,0),1)&amp;CHAR(10)&amp;INDEX(Tareas!$E$6:$E$205,MATCH(D$5&amp;"_"&amp;126,Tareas!$N$6:$N$205,0),1)&amp;CHAR(10)&amp;INDEX(Tareas!$O$6:$O$205,MATCH(D$5&amp;"_"&amp;126,Tareas!$N$6:$N$205,0),1))</x:f>
      </x:c>
      <x:c r="E131" s="21" t="str">
        <x:f>IF(126&gt;E$4,"",INDEX(Tareas!$A$6:$A$205,MATCH(E$5&amp;"_"&amp;126,Tareas!$N$6:$N$205,0),1)&amp;" · "&amp;INDEX(Tareas!$D$6:$D$205,MATCH(E$5&amp;"_"&amp;126,Tareas!$N$6:$N$205,0),1)&amp;CHAR(10)&amp;INDEX(Tareas!$C$6:$C$205,MATCH(E$5&amp;"_"&amp;126,Tareas!$N$6:$N$205,0),1)&amp;CHAR(10)&amp;INDEX(Tareas!$E$6:$E$205,MATCH(E$5&amp;"_"&amp;126,Tareas!$N$6:$N$205,0),1)&amp;CHAR(10)&amp;INDEX(Tareas!$O$6:$O$205,MATCH(E$5&amp;"_"&amp;126,Tareas!$N$6:$N$205,0),1))</x:f>
      </x:c>
      <x:c r="F131" s="21" t="str">
        <x:f>IF(126&gt;F$4,"",INDEX(Tareas!$A$6:$A$205,MATCH(F$5&amp;"_"&amp;126,Tareas!$N$6:$N$205,0),1)&amp;" · "&amp;INDEX(Tareas!$D$6:$D$205,MATCH(F$5&amp;"_"&amp;126,Tareas!$N$6:$N$205,0),1)&amp;CHAR(10)&amp;INDEX(Tareas!$C$6:$C$205,MATCH(F$5&amp;"_"&amp;126,Tareas!$N$6:$N$205,0),1)&amp;CHAR(10)&amp;INDEX(Tareas!$E$6:$E$205,MATCH(F$5&amp;"_"&amp;126,Tareas!$N$6:$N$205,0),1)&amp;CHAR(10)&amp;INDEX(Tareas!$O$6:$O$205,MATCH(F$5&amp;"_"&amp;126,Tareas!$N$6:$N$205,0),1))</x:f>
      </x:c>
    </x:row>
    <x:row r="132" ht="76" customHeight="1">
      <x:c r="A132" s="21" t="str">
        <x:f>IF(127&gt;A$4,"",INDEX(Tareas!$A$6:$A$205,MATCH(A$5&amp;"_"&amp;127,Tareas!$N$6:$N$205,0),1)&amp;" · "&amp;INDEX(Tareas!$D$6:$D$205,MATCH(A$5&amp;"_"&amp;127,Tareas!$N$6:$N$205,0),1)&amp;CHAR(10)&amp;INDEX(Tareas!$C$6:$C$205,MATCH(A$5&amp;"_"&amp;127,Tareas!$N$6:$N$205,0),1)&amp;CHAR(10)&amp;INDEX(Tareas!$E$6:$E$205,MATCH(A$5&amp;"_"&amp;127,Tareas!$N$6:$N$205,0),1)&amp;CHAR(10)&amp;INDEX(Tareas!$O$6:$O$205,MATCH(A$5&amp;"_"&amp;127,Tareas!$N$6:$N$205,0),1))</x:f>
      </x:c>
      <x:c r="B132" s="21" t="str">
        <x:f>IF(127&gt;B$4,"",INDEX(Tareas!$A$6:$A$205,MATCH(B$5&amp;"_"&amp;127,Tareas!$N$6:$N$205,0),1)&amp;" · "&amp;INDEX(Tareas!$D$6:$D$205,MATCH(B$5&amp;"_"&amp;127,Tareas!$N$6:$N$205,0),1)&amp;CHAR(10)&amp;INDEX(Tareas!$C$6:$C$205,MATCH(B$5&amp;"_"&amp;127,Tareas!$N$6:$N$205,0),1)&amp;CHAR(10)&amp;INDEX(Tareas!$E$6:$E$205,MATCH(B$5&amp;"_"&amp;127,Tareas!$N$6:$N$205,0),1)&amp;CHAR(10)&amp;INDEX(Tareas!$O$6:$O$205,MATCH(B$5&amp;"_"&amp;127,Tareas!$N$6:$N$205,0),1))</x:f>
      </x:c>
      <x:c r="C132" s="21" t="str">
        <x:f>IF(127&gt;C$4,"",INDEX(Tareas!$A$6:$A$205,MATCH(C$5&amp;"_"&amp;127,Tareas!$N$6:$N$205,0),1)&amp;" · "&amp;INDEX(Tareas!$D$6:$D$205,MATCH(C$5&amp;"_"&amp;127,Tareas!$N$6:$N$205,0),1)&amp;CHAR(10)&amp;INDEX(Tareas!$C$6:$C$205,MATCH(C$5&amp;"_"&amp;127,Tareas!$N$6:$N$205,0),1)&amp;CHAR(10)&amp;INDEX(Tareas!$E$6:$E$205,MATCH(C$5&amp;"_"&amp;127,Tareas!$N$6:$N$205,0),1)&amp;CHAR(10)&amp;INDEX(Tareas!$O$6:$O$205,MATCH(C$5&amp;"_"&amp;127,Tareas!$N$6:$N$205,0),1))</x:f>
      </x:c>
      <x:c r="D132" s="21" t="str">
        <x:f>IF(127&gt;D$4,"",INDEX(Tareas!$A$6:$A$205,MATCH(D$5&amp;"_"&amp;127,Tareas!$N$6:$N$205,0),1)&amp;" · "&amp;INDEX(Tareas!$D$6:$D$205,MATCH(D$5&amp;"_"&amp;127,Tareas!$N$6:$N$205,0),1)&amp;CHAR(10)&amp;INDEX(Tareas!$C$6:$C$205,MATCH(D$5&amp;"_"&amp;127,Tareas!$N$6:$N$205,0),1)&amp;CHAR(10)&amp;INDEX(Tareas!$E$6:$E$205,MATCH(D$5&amp;"_"&amp;127,Tareas!$N$6:$N$205,0),1)&amp;CHAR(10)&amp;INDEX(Tareas!$O$6:$O$205,MATCH(D$5&amp;"_"&amp;127,Tareas!$N$6:$N$205,0),1))</x:f>
      </x:c>
      <x:c r="E132" s="21" t="str">
        <x:f>IF(127&gt;E$4,"",INDEX(Tareas!$A$6:$A$205,MATCH(E$5&amp;"_"&amp;127,Tareas!$N$6:$N$205,0),1)&amp;" · "&amp;INDEX(Tareas!$D$6:$D$205,MATCH(E$5&amp;"_"&amp;127,Tareas!$N$6:$N$205,0),1)&amp;CHAR(10)&amp;INDEX(Tareas!$C$6:$C$205,MATCH(E$5&amp;"_"&amp;127,Tareas!$N$6:$N$205,0),1)&amp;CHAR(10)&amp;INDEX(Tareas!$E$6:$E$205,MATCH(E$5&amp;"_"&amp;127,Tareas!$N$6:$N$205,0),1)&amp;CHAR(10)&amp;INDEX(Tareas!$O$6:$O$205,MATCH(E$5&amp;"_"&amp;127,Tareas!$N$6:$N$205,0),1))</x:f>
      </x:c>
      <x:c r="F132" s="21" t="str">
        <x:f>IF(127&gt;F$4,"",INDEX(Tareas!$A$6:$A$205,MATCH(F$5&amp;"_"&amp;127,Tareas!$N$6:$N$205,0),1)&amp;" · "&amp;INDEX(Tareas!$D$6:$D$205,MATCH(F$5&amp;"_"&amp;127,Tareas!$N$6:$N$205,0),1)&amp;CHAR(10)&amp;INDEX(Tareas!$C$6:$C$205,MATCH(F$5&amp;"_"&amp;127,Tareas!$N$6:$N$205,0),1)&amp;CHAR(10)&amp;INDEX(Tareas!$E$6:$E$205,MATCH(F$5&amp;"_"&amp;127,Tareas!$N$6:$N$205,0),1)&amp;CHAR(10)&amp;INDEX(Tareas!$O$6:$O$205,MATCH(F$5&amp;"_"&amp;127,Tareas!$N$6:$N$205,0),1))</x:f>
      </x:c>
    </x:row>
    <x:row r="133" ht="76" customHeight="1">
      <x:c r="A133" s="21" t="str">
        <x:f>IF(128&gt;A$4,"",INDEX(Tareas!$A$6:$A$205,MATCH(A$5&amp;"_"&amp;128,Tareas!$N$6:$N$205,0),1)&amp;" · "&amp;INDEX(Tareas!$D$6:$D$205,MATCH(A$5&amp;"_"&amp;128,Tareas!$N$6:$N$205,0),1)&amp;CHAR(10)&amp;INDEX(Tareas!$C$6:$C$205,MATCH(A$5&amp;"_"&amp;128,Tareas!$N$6:$N$205,0),1)&amp;CHAR(10)&amp;INDEX(Tareas!$E$6:$E$205,MATCH(A$5&amp;"_"&amp;128,Tareas!$N$6:$N$205,0),1)&amp;CHAR(10)&amp;INDEX(Tareas!$O$6:$O$205,MATCH(A$5&amp;"_"&amp;128,Tareas!$N$6:$N$205,0),1))</x:f>
      </x:c>
      <x:c r="B133" s="21" t="str">
        <x:f>IF(128&gt;B$4,"",INDEX(Tareas!$A$6:$A$205,MATCH(B$5&amp;"_"&amp;128,Tareas!$N$6:$N$205,0),1)&amp;" · "&amp;INDEX(Tareas!$D$6:$D$205,MATCH(B$5&amp;"_"&amp;128,Tareas!$N$6:$N$205,0),1)&amp;CHAR(10)&amp;INDEX(Tareas!$C$6:$C$205,MATCH(B$5&amp;"_"&amp;128,Tareas!$N$6:$N$205,0),1)&amp;CHAR(10)&amp;INDEX(Tareas!$E$6:$E$205,MATCH(B$5&amp;"_"&amp;128,Tareas!$N$6:$N$205,0),1)&amp;CHAR(10)&amp;INDEX(Tareas!$O$6:$O$205,MATCH(B$5&amp;"_"&amp;128,Tareas!$N$6:$N$205,0),1))</x:f>
      </x:c>
      <x:c r="C133" s="21" t="str">
        <x:f>IF(128&gt;C$4,"",INDEX(Tareas!$A$6:$A$205,MATCH(C$5&amp;"_"&amp;128,Tareas!$N$6:$N$205,0),1)&amp;" · "&amp;INDEX(Tareas!$D$6:$D$205,MATCH(C$5&amp;"_"&amp;128,Tareas!$N$6:$N$205,0),1)&amp;CHAR(10)&amp;INDEX(Tareas!$C$6:$C$205,MATCH(C$5&amp;"_"&amp;128,Tareas!$N$6:$N$205,0),1)&amp;CHAR(10)&amp;INDEX(Tareas!$E$6:$E$205,MATCH(C$5&amp;"_"&amp;128,Tareas!$N$6:$N$205,0),1)&amp;CHAR(10)&amp;INDEX(Tareas!$O$6:$O$205,MATCH(C$5&amp;"_"&amp;128,Tareas!$N$6:$N$205,0),1))</x:f>
      </x:c>
      <x:c r="D133" s="21" t="str">
        <x:f>IF(128&gt;D$4,"",INDEX(Tareas!$A$6:$A$205,MATCH(D$5&amp;"_"&amp;128,Tareas!$N$6:$N$205,0),1)&amp;" · "&amp;INDEX(Tareas!$D$6:$D$205,MATCH(D$5&amp;"_"&amp;128,Tareas!$N$6:$N$205,0),1)&amp;CHAR(10)&amp;INDEX(Tareas!$C$6:$C$205,MATCH(D$5&amp;"_"&amp;128,Tareas!$N$6:$N$205,0),1)&amp;CHAR(10)&amp;INDEX(Tareas!$E$6:$E$205,MATCH(D$5&amp;"_"&amp;128,Tareas!$N$6:$N$205,0),1)&amp;CHAR(10)&amp;INDEX(Tareas!$O$6:$O$205,MATCH(D$5&amp;"_"&amp;128,Tareas!$N$6:$N$205,0),1))</x:f>
      </x:c>
      <x:c r="E133" s="21" t="str">
        <x:f>IF(128&gt;E$4,"",INDEX(Tareas!$A$6:$A$205,MATCH(E$5&amp;"_"&amp;128,Tareas!$N$6:$N$205,0),1)&amp;" · "&amp;INDEX(Tareas!$D$6:$D$205,MATCH(E$5&amp;"_"&amp;128,Tareas!$N$6:$N$205,0),1)&amp;CHAR(10)&amp;INDEX(Tareas!$C$6:$C$205,MATCH(E$5&amp;"_"&amp;128,Tareas!$N$6:$N$205,0),1)&amp;CHAR(10)&amp;INDEX(Tareas!$E$6:$E$205,MATCH(E$5&amp;"_"&amp;128,Tareas!$N$6:$N$205,0),1)&amp;CHAR(10)&amp;INDEX(Tareas!$O$6:$O$205,MATCH(E$5&amp;"_"&amp;128,Tareas!$N$6:$N$205,0),1))</x:f>
      </x:c>
      <x:c r="F133" s="21" t="str">
        <x:f>IF(128&gt;F$4,"",INDEX(Tareas!$A$6:$A$205,MATCH(F$5&amp;"_"&amp;128,Tareas!$N$6:$N$205,0),1)&amp;" · "&amp;INDEX(Tareas!$D$6:$D$205,MATCH(F$5&amp;"_"&amp;128,Tareas!$N$6:$N$205,0),1)&amp;CHAR(10)&amp;INDEX(Tareas!$C$6:$C$205,MATCH(F$5&amp;"_"&amp;128,Tareas!$N$6:$N$205,0),1)&amp;CHAR(10)&amp;INDEX(Tareas!$E$6:$E$205,MATCH(F$5&amp;"_"&amp;128,Tareas!$N$6:$N$205,0),1)&amp;CHAR(10)&amp;INDEX(Tareas!$O$6:$O$205,MATCH(F$5&amp;"_"&amp;128,Tareas!$N$6:$N$205,0),1))</x:f>
      </x:c>
    </x:row>
    <x:row r="134" ht="76" customHeight="1">
      <x:c r="A134" s="21" t="str">
        <x:f>IF(129&gt;A$4,"",INDEX(Tareas!$A$6:$A$205,MATCH(A$5&amp;"_"&amp;129,Tareas!$N$6:$N$205,0),1)&amp;" · "&amp;INDEX(Tareas!$D$6:$D$205,MATCH(A$5&amp;"_"&amp;129,Tareas!$N$6:$N$205,0),1)&amp;CHAR(10)&amp;INDEX(Tareas!$C$6:$C$205,MATCH(A$5&amp;"_"&amp;129,Tareas!$N$6:$N$205,0),1)&amp;CHAR(10)&amp;INDEX(Tareas!$E$6:$E$205,MATCH(A$5&amp;"_"&amp;129,Tareas!$N$6:$N$205,0),1)&amp;CHAR(10)&amp;INDEX(Tareas!$O$6:$O$205,MATCH(A$5&amp;"_"&amp;129,Tareas!$N$6:$N$205,0),1))</x:f>
      </x:c>
      <x:c r="B134" s="21" t="str">
        <x:f>IF(129&gt;B$4,"",INDEX(Tareas!$A$6:$A$205,MATCH(B$5&amp;"_"&amp;129,Tareas!$N$6:$N$205,0),1)&amp;" · "&amp;INDEX(Tareas!$D$6:$D$205,MATCH(B$5&amp;"_"&amp;129,Tareas!$N$6:$N$205,0),1)&amp;CHAR(10)&amp;INDEX(Tareas!$C$6:$C$205,MATCH(B$5&amp;"_"&amp;129,Tareas!$N$6:$N$205,0),1)&amp;CHAR(10)&amp;INDEX(Tareas!$E$6:$E$205,MATCH(B$5&amp;"_"&amp;129,Tareas!$N$6:$N$205,0),1)&amp;CHAR(10)&amp;INDEX(Tareas!$O$6:$O$205,MATCH(B$5&amp;"_"&amp;129,Tareas!$N$6:$N$205,0),1))</x:f>
      </x:c>
      <x:c r="C134" s="21" t="str">
        <x:f>IF(129&gt;C$4,"",INDEX(Tareas!$A$6:$A$205,MATCH(C$5&amp;"_"&amp;129,Tareas!$N$6:$N$205,0),1)&amp;" · "&amp;INDEX(Tareas!$D$6:$D$205,MATCH(C$5&amp;"_"&amp;129,Tareas!$N$6:$N$205,0),1)&amp;CHAR(10)&amp;INDEX(Tareas!$C$6:$C$205,MATCH(C$5&amp;"_"&amp;129,Tareas!$N$6:$N$205,0),1)&amp;CHAR(10)&amp;INDEX(Tareas!$E$6:$E$205,MATCH(C$5&amp;"_"&amp;129,Tareas!$N$6:$N$205,0),1)&amp;CHAR(10)&amp;INDEX(Tareas!$O$6:$O$205,MATCH(C$5&amp;"_"&amp;129,Tareas!$N$6:$N$205,0),1))</x:f>
      </x:c>
      <x:c r="D134" s="21" t="str">
        <x:f>IF(129&gt;D$4,"",INDEX(Tareas!$A$6:$A$205,MATCH(D$5&amp;"_"&amp;129,Tareas!$N$6:$N$205,0),1)&amp;" · "&amp;INDEX(Tareas!$D$6:$D$205,MATCH(D$5&amp;"_"&amp;129,Tareas!$N$6:$N$205,0),1)&amp;CHAR(10)&amp;INDEX(Tareas!$C$6:$C$205,MATCH(D$5&amp;"_"&amp;129,Tareas!$N$6:$N$205,0),1)&amp;CHAR(10)&amp;INDEX(Tareas!$E$6:$E$205,MATCH(D$5&amp;"_"&amp;129,Tareas!$N$6:$N$205,0),1)&amp;CHAR(10)&amp;INDEX(Tareas!$O$6:$O$205,MATCH(D$5&amp;"_"&amp;129,Tareas!$N$6:$N$205,0),1))</x:f>
      </x:c>
      <x:c r="E134" s="21" t="str">
        <x:f>IF(129&gt;E$4,"",INDEX(Tareas!$A$6:$A$205,MATCH(E$5&amp;"_"&amp;129,Tareas!$N$6:$N$205,0),1)&amp;" · "&amp;INDEX(Tareas!$D$6:$D$205,MATCH(E$5&amp;"_"&amp;129,Tareas!$N$6:$N$205,0),1)&amp;CHAR(10)&amp;INDEX(Tareas!$C$6:$C$205,MATCH(E$5&amp;"_"&amp;129,Tareas!$N$6:$N$205,0),1)&amp;CHAR(10)&amp;INDEX(Tareas!$E$6:$E$205,MATCH(E$5&amp;"_"&amp;129,Tareas!$N$6:$N$205,0),1)&amp;CHAR(10)&amp;INDEX(Tareas!$O$6:$O$205,MATCH(E$5&amp;"_"&amp;129,Tareas!$N$6:$N$205,0),1))</x:f>
      </x:c>
      <x:c r="F134" s="21" t="str">
        <x:f>IF(129&gt;F$4,"",INDEX(Tareas!$A$6:$A$205,MATCH(F$5&amp;"_"&amp;129,Tareas!$N$6:$N$205,0),1)&amp;" · "&amp;INDEX(Tareas!$D$6:$D$205,MATCH(F$5&amp;"_"&amp;129,Tareas!$N$6:$N$205,0),1)&amp;CHAR(10)&amp;INDEX(Tareas!$C$6:$C$205,MATCH(F$5&amp;"_"&amp;129,Tareas!$N$6:$N$205,0),1)&amp;CHAR(10)&amp;INDEX(Tareas!$E$6:$E$205,MATCH(F$5&amp;"_"&amp;129,Tareas!$N$6:$N$205,0),1)&amp;CHAR(10)&amp;INDEX(Tareas!$O$6:$O$205,MATCH(F$5&amp;"_"&amp;129,Tareas!$N$6:$N$205,0),1))</x:f>
      </x:c>
    </x:row>
    <x:row r="135" ht="76" customHeight="1">
      <x:c r="A135" s="21" t="str">
        <x:f>IF(130&gt;A$4,"",INDEX(Tareas!$A$6:$A$205,MATCH(A$5&amp;"_"&amp;130,Tareas!$N$6:$N$205,0),1)&amp;" · "&amp;INDEX(Tareas!$D$6:$D$205,MATCH(A$5&amp;"_"&amp;130,Tareas!$N$6:$N$205,0),1)&amp;CHAR(10)&amp;INDEX(Tareas!$C$6:$C$205,MATCH(A$5&amp;"_"&amp;130,Tareas!$N$6:$N$205,0),1)&amp;CHAR(10)&amp;INDEX(Tareas!$E$6:$E$205,MATCH(A$5&amp;"_"&amp;130,Tareas!$N$6:$N$205,0),1)&amp;CHAR(10)&amp;INDEX(Tareas!$O$6:$O$205,MATCH(A$5&amp;"_"&amp;130,Tareas!$N$6:$N$205,0),1))</x:f>
      </x:c>
      <x:c r="B135" s="21" t="str">
        <x:f>IF(130&gt;B$4,"",INDEX(Tareas!$A$6:$A$205,MATCH(B$5&amp;"_"&amp;130,Tareas!$N$6:$N$205,0),1)&amp;" · "&amp;INDEX(Tareas!$D$6:$D$205,MATCH(B$5&amp;"_"&amp;130,Tareas!$N$6:$N$205,0),1)&amp;CHAR(10)&amp;INDEX(Tareas!$C$6:$C$205,MATCH(B$5&amp;"_"&amp;130,Tareas!$N$6:$N$205,0),1)&amp;CHAR(10)&amp;INDEX(Tareas!$E$6:$E$205,MATCH(B$5&amp;"_"&amp;130,Tareas!$N$6:$N$205,0),1)&amp;CHAR(10)&amp;INDEX(Tareas!$O$6:$O$205,MATCH(B$5&amp;"_"&amp;130,Tareas!$N$6:$N$205,0),1))</x:f>
      </x:c>
      <x:c r="C135" s="21" t="str">
        <x:f>IF(130&gt;C$4,"",INDEX(Tareas!$A$6:$A$205,MATCH(C$5&amp;"_"&amp;130,Tareas!$N$6:$N$205,0),1)&amp;" · "&amp;INDEX(Tareas!$D$6:$D$205,MATCH(C$5&amp;"_"&amp;130,Tareas!$N$6:$N$205,0),1)&amp;CHAR(10)&amp;INDEX(Tareas!$C$6:$C$205,MATCH(C$5&amp;"_"&amp;130,Tareas!$N$6:$N$205,0),1)&amp;CHAR(10)&amp;INDEX(Tareas!$E$6:$E$205,MATCH(C$5&amp;"_"&amp;130,Tareas!$N$6:$N$205,0),1)&amp;CHAR(10)&amp;INDEX(Tareas!$O$6:$O$205,MATCH(C$5&amp;"_"&amp;130,Tareas!$N$6:$N$205,0),1))</x:f>
      </x:c>
      <x:c r="D135" s="21" t="str">
        <x:f>IF(130&gt;D$4,"",INDEX(Tareas!$A$6:$A$205,MATCH(D$5&amp;"_"&amp;130,Tareas!$N$6:$N$205,0),1)&amp;" · "&amp;INDEX(Tareas!$D$6:$D$205,MATCH(D$5&amp;"_"&amp;130,Tareas!$N$6:$N$205,0),1)&amp;CHAR(10)&amp;INDEX(Tareas!$C$6:$C$205,MATCH(D$5&amp;"_"&amp;130,Tareas!$N$6:$N$205,0),1)&amp;CHAR(10)&amp;INDEX(Tareas!$E$6:$E$205,MATCH(D$5&amp;"_"&amp;130,Tareas!$N$6:$N$205,0),1)&amp;CHAR(10)&amp;INDEX(Tareas!$O$6:$O$205,MATCH(D$5&amp;"_"&amp;130,Tareas!$N$6:$N$205,0),1))</x:f>
      </x:c>
      <x:c r="E135" s="21" t="str">
        <x:f>IF(130&gt;E$4,"",INDEX(Tareas!$A$6:$A$205,MATCH(E$5&amp;"_"&amp;130,Tareas!$N$6:$N$205,0),1)&amp;" · "&amp;INDEX(Tareas!$D$6:$D$205,MATCH(E$5&amp;"_"&amp;130,Tareas!$N$6:$N$205,0),1)&amp;CHAR(10)&amp;INDEX(Tareas!$C$6:$C$205,MATCH(E$5&amp;"_"&amp;130,Tareas!$N$6:$N$205,0),1)&amp;CHAR(10)&amp;INDEX(Tareas!$E$6:$E$205,MATCH(E$5&amp;"_"&amp;130,Tareas!$N$6:$N$205,0),1)&amp;CHAR(10)&amp;INDEX(Tareas!$O$6:$O$205,MATCH(E$5&amp;"_"&amp;130,Tareas!$N$6:$N$205,0),1))</x:f>
      </x:c>
      <x:c r="F135" s="21" t="str">
        <x:f>IF(130&gt;F$4,"",INDEX(Tareas!$A$6:$A$205,MATCH(F$5&amp;"_"&amp;130,Tareas!$N$6:$N$205,0),1)&amp;" · "&amp;INDEX(Tareas!$D$6:$D$205,MATCH(F$5&amp;"_"&amp;130,Tareas!$N$6:$N$205,0),1)&amp;CHAR(10)&amp;INDEX(Tareas!$C$6:$C$205,MATCH(F$5&amp;"_"&amp;130,Tareas!$N$6:$N$205,0),1)&amp;CHAR(10)&amp;INDEX(Tareas!$E$6:$E$205,MATCH(F$5&amp;"_"&amp;130,Tareas!$N$6:$N$205,0),1)&amp;CHAR(10)&amp;INDEX(Tareas!$O$6:$O$205,MATCH(F$5&amp;"_"&amp;130,Tareas!$N$6:$N$205,0),1))</x:f>
      </x:c>
    </x:row>
    <x:row r="136" ht="76" customHeight="1">
      <x:c r="A136" s="21" t="str">
        <x:f>IF(131&gt;A$4,"",INDEX(Tareas!$A$6:$A$205,MATCH(A$5&amp;"_"&amp;131,Tareas!$N$6:$N$205,0),1)&amp;" · "&amp;INDEX(Tareas!$D$6:$D$205,MATCH(A$5&amp;"_"&amp;131,Tareas!$N$6:$N$205,0),1)&amp;CHAR(10)&amp;INDEX(Tareas!$C$6:$C$205,MATCH(A$5&amp;"_"&amp;131,Tareas!$N$6:$N$205,0),1)&amp;CHAR(10)&amp;INDEX(Tareas!$E$6:$E$205,MATCH(A$5&amp;"_"&amp;131,Tareas!$N$6:$N$205,0),1)&amp;CHAR(10)&amp;INDEX(Tareas!$O$6:$O$205,MATCH(A$5&amp;"_"&amp;131,Tareas!$N$6:$N$205,0),1))</x:f>
      </x:c>
      <x:c r="B136" s="21" t="str">
        <x:f>IF(131&gt;B$4,"",INDEX(Tareas!$A$6:$A$205,MATCH(B$5&amp;"_"&amp;131,Tareas!$N$6:$N$205,0),1)&amp;" · "&amp;INDEX(Tareas!$D$6:$D$205,MATCH(B$5&amp;"_"&amp;131,Tareas!$N$6:$N$205,0),1)&amp;CHAR(10)&amp;INDEX(Tareas!$C$6:$C$205,MATCH(B$5&amp;"_"&amp;131,Tareas!$N$6:$N$205,0),1)&amp;CHAR(10)&amp;INDEX(Tareas!$E$6:$E$205,MATCH(B$5&amp;"_"&amp;131,Tareas!$N$6:$N$205,0),1)&amp;CHAR(10)&amp;INDEX(Tareas!$O$6:$O$205,MATCH(B$5&amp;"_"&amp;131,Tareas!$N$6:$N$205,0),1))</x:f>
      </x:c>
      <x:c r="C136" s="21" t="str">
        <x:f>IF(131&gt;C$4,"",INDEX(Tareas!$A$6:$A$205,MATCH(C$5&amp;"_"&amp;131,Tareas!$N$6:$N$205,0),1)&amp;" · "&amp;INDEX(Tareas!$D$6:$D$205,MATCH(C$5&amp;"_"&amp;131,Tareas!$N$6:$N$205,0),1)&amp;CHAR(10)&amp;INDEX(Tareas!$C$6:$C$205,MATCH(C$5&amp;"_"&amp;131,Tareas!$N$6:$N$205,0),1)&amp;CHAR(10)&amp;INDEX(Tareas!$E$6:$E$205,MATCH(C$5&amp;"_"&amp;131,Tareas!$N$6:$N$205,0),1)&amp;CHAR(10)&amp;INDEX(Tareas!$O$6:$O$205,MATCH(C$5&amp;"_"&amp;131,Tareas!$N$6:$N$205,0),1))</x:f>
      </x:c>
      <x:c r="D136" s="21" t="str">
        <x:f>IF(131&gt;D$4,"",INDEX(Tareas!$A$6:$A$205,MATCH(D$5&amp;"_"&amp;131,Tareas!$N$6:$N$205,0),1)&amp;" · "&amp;INDEX(Tareas!$D$6:$D$205,MATCH(D$5&amp;"_"&amp;131,Tareas!$N$6:$N$205,0),1)&amp;CHAR(10)&amp;INDEX(Tareas!$C$6:$C$205,MATCH(D$5&amp;"_"&amp;131,Tareas!$N$6:$N$205,0),1)&amp;CHAR(10)&amp;INDEX(Tareas!$E$6:$E$205,MATCH(D$5&amp;"_"&amp;131,Tareas!$N$6:$N$205,0),1)&amp;CHAR(10)&amp;INDEX(Tareas!$O$6:$O$205,MATCH(D$5&amp;"_"&amp;131,Tareas!$N$6:$N$205,0),1))</x:f>
      </x:c>
      <x:c r="E136" s="21" t="str">
        <x:f>IF(131&gt;E$4,"",INDEX(Tareas!$A$6:$A$205,MATCH(E$5&amp;"_"&amp;131,Tareas!$N$6:$N$205,0),1)&amp;" · "&amp;INDEX(Tareas!$D$6:$D$205,MATCH(E$5&amp;"_"&amp;131,Tareas!$N$6:$N$205,0),1)&amp;CHAR(10)&amp;INDEX(Tareas!$C$6:$C$205,MATCH(E$5&amp;"_"&amp;131,Tareas!$N$6:$N$205,0),1)&amp;CHAR(10)&amp;INDEX(Tareas!$E$6:$E$205,MATCH(E$5&amp;"_"&amp;131,Tareas!$N$6:$N$205,0),1)&amp;CHAR(10)&amp;INDEX(Tareas!$O$6:$O$205,MATCH(E$5&amp;"_"&amp;131,Tareas!$N$6:$N$205,0),1))</x:f>
      </x:c>
      <x:c r="F136" s="21" t="str">
        <x:f>IF(131&gt;F$4,"",INDEX(Tareas!$A$6:$A$205,MATCH(F$5&amp;"_"&amp;131,Tareas!$N$6:$N$205,0),1)&amp;" · "&amp;INDEX(Tareas!$D$6:$D$205,MATCH(F$5&amp;"_"&amp;131,Tareas!$N$6:$N$205,0),1)&amp;CHAR(10)&amp;INDEX(Tareas!$C$6:$C$205,MATCH(F$5&amp;"_"&amp;131,Tareas!$N$6:$N$205,0),1)&amp;CHAR(10)&amp;INDEX(Tareas!$E$6:$E$205,MATCH(F$5&amp;"_"&amp;131,Tareas!$N$6:$N$205,0),1)&amp;CHAR(10)&amp;INDEX(Tareas!$O$6:$O$205,MATCH(F$5&amp;"_"&amp;131,Tareas!$N$6:$N$205,0),1))</x:f>
      </x:c>
    </x:row>
    <x:row r="137" ht="76" customHeight="1">
      <x:c r="A137" s="21" t="str">
        <x:f>IF(132&gt;A$4,"",INDEX(Tareas!$A$6:$A$205,MATCH(A$5&amp;"_"&amp;132,Tareas!$N$6:$N$205,0),1)&amp;" · "&amp;INDEX(Tareas!$D$6:$D$205,MATCH(A$5&amp;"_"&amp;132,Tareas!$N$6:$N$205,0),1)&amp;CHAR(10)&amp;INDEX(Tareas!$C$6:$C$205,MATCH(A$5&amp;"_"&amp;132,Tareas!$N$6:$N$205,0),1)&amp;CHAR(10)&amp;INDEX(Tareas!$E$6:$E$205,MATCH(A$5&amp;"_"&amp;132,Tareas!$N$6:$N$205,0),1)&amp;CHAR(10)&amp;INDEX(Tareas!$O$6:$O$205,MATCH(A$5&amp;"_"&amp;132,Tareas!$N$6:$N$205,0),1))</x:f>
      </x:c>
      <x:c r="B137" s="21" t="str">
        <x:f>IF(132&gt;B$4,"",INDEX(Tareas!$A$6:$A$205,MATCH(B$5&amp;"_"&amp;132,Tareas!$N$6:$N$205,0),1)&amp;" · "&amp;INDEX(Tareas!$D$6:$D$205,MATCH(B$5&amp;"_"&amp;132,Tareas!$N$6:$N$205,0),1)&amp;CHAR(10)&amp;INDEX(Tareas!$C$6:$C$205,MATCH(B$5&amp;"_"&amp;132,Tareas!$N$6:$N$205,0),1)&amp;CHAR(10)&amp;INDEX(Tareas!$E$6:$E$205,MATCH(B$5&amp;"_"&amp;132,Tareas!$N$6:$N$205,0),1)&amp;CHAR(10)&amp;INDEX(Tareas!$O$6:$O$205,MATCH(B$5&amp;"_"&amp;132,Tareas!$N$6:$N$205,0),1))</x:f>
      </x:c>
      <x:c r="C137" s="21" t="str">
        <x:f>IF(132&gt;C$4,"",INDEX(Tareas!$A$6:$A$205,MATCH(C$5&amp;"_"&amp;132,Tareas!$N$6:$N$205,0),1)&amp;" · "&amp;INDEX(Tareas!$D$6:$D$205,MATCH(C$5&amp;"_"&amp;132,Tareas!$N$6:$N$205,0),1)&amp;CHAR(10)&amp;INDEX(Tareas!$C$6:$C$205,MATCH(C$5&amp;"_"&amp;132,Tareas!$N$6:$N$205,0),1)&amp;CHAR(10)&amp;INDEX(Tareas!$E$6:$E$205,MATCH(C$5&amp;"_"&amp;132,Tareas!$N$6:$N$205,0),1)&amp;CHAR(10)&amp;INDEX(Tareas!$O$6:$O$205,MATCH(C$5&amp;"_"&amp;132,Tareas!$N$6:$N$205,0),1))</x:f>
      </x:c>
      <x:c r="D137" s="21" t="str">
        <x:f>IF(132&gt;D$4,"",INDEX(Tareas!$A$6:$A$205,MATCH(D$5&amp;"_"&amp;132,Tareas!$N$6:$N$205,0),1)&amp;" · "&amp;INDEX(Tareas!$D$6:$D$205,MATCH(D$5&amp;"_"&amp;132,Tareas!$N$6:$N$205,0),1)&amp;CHAR(10)&amp;INDEX(Tareas!$C$6:$C$205,MATCH(D$5&amp;"_"&amp;132,Tareas!$N$6:$N$205,0),1)&amp;CHAR(10)&amp;INDEX(Tareas!$E$6:$E$205,MATCH(D$5&amp;"_"&amp;132,Tareas!$N$6:$N$205,0),1)&amp;CHAR(10)&amp;INDEX(Tareas!$O$6:$O$205,MATCH(D$5&amp;"_"&amp;132,Tareas!$N$6:$N$205,0),1))</x:f>
      </x:c>
      <x:c r="E137" s="21" t="str">
        <x:f>IF(132&gt;E$4,"",INDEX(Tareas!$A$6:$A$205,MATCH(E$5&amp;"_"&amp;132,Tareas!$N$6:$N$205,0),1)&amp;" · "&amp;INDEX(Tareas!$D$6:$D$205,MATCH(E$5&amp;"_"&amp;132,Tareas!$N$6:$N$205,0),1)&amp;CHAR(10)&amp;INDEX(Tareas!$C$6:$C$205,MATCH(E$5&amp;"_"&amp;132,Tareas!$N$6:$N$205,0),1)&amp;CHAR(10)&amp;INDEX(Tareas!$E$6:$E$205,MATCH(E$5&amp;"_"&amp;132,Tareas!$N$6:$N$205,0),1)&amp;CHAR(10)&amp;INDEX(Tareas!$O$6:$O$205,MATCH(E$5&amp;"_"&amp;132,Tareas!$N$6:$N$205,0),1))</x:f>
      </x:c>
      <x:c r="F137" s="21" t="str">
        <x:f>IF(132&gt;F$4,"",INDEX(Tareas!$A$6:$A$205,MATCH(F$5&amp;"_"&amp;132,Tareas!$N$6:$N$205,0),1)&amp;" · "&amp;INDEX(Tareas!$D$6:$D$205,MATCH(F$5&amp;"_"&amp;132,Tareas!$N$6:$N$205,0),1)&amp;CHAR(10)&amp;INDEX(Tareas!$C$6:$C$205,MATCH(F$5&amp;"_"&amp;132,Tareas!$N$6:$N$205,0),1)&amp;CHAR(10)&amp;INDEX(Tareas!$E$6:$E$205,MATCH(F$5&amp;"_"&amp;132,Tareas!$N$6:$N$205,0),1)&amp;CHAR(10)&amp;INDEX(Tareas!$O$6:$O$205,MATCH(F$5&amp;"_"&amp;132,Tareas!$N$6:$N$205,0),1))</x:f>
      </x:c>
    </x:row>
    <x:row r="138" ht="76" customHeight="1">
      <x:c r="A138" s="21" t="str">
        <x:f>IF(133&gt;A$4,"",INDEX(Tareas!$A$6:$A$205,MATCH(A$5&amp;"_"&amp;133,Tareas!$N$6:$N$205,0),1)&amp;" · "&amp;INDEX(Tareas!$D$6:$D$205,MATCH(A$5&amp;"_"&amp;133,Tareas!$N$6:$N$205,0),1)&amp;CHAR(10)&amp;INDEX(Tareas!$C$6:$C$205,MATCH(A$5&amp;"_"&amp;133,Tareas!$N$6:$N$205,0),1)&amp;CHAR(10)&amp;INDEX(Tareas!$E$6:$E$205,MATCH(A$5&amp;"_"&amp;133,Tareas!$N$6:$N$205,0),1)&amp;CHAR(10)&amp;INDEX(Tareas!$O$6:$O$205,MATCH(A$5&amp;"_"&amp;133,Tareas!$N$6:$N$205,0),1))</x:f>
      </x:c>
      <x:c r="B138" s="21" t="str">
        <x:f>IF(133&gt;B$4,"",INDEX(Tareas!$A$6:$A$205,MATCH(B$5&amp;"_"&amp;133,Tareas!$N$6:$N$205,0),1)&amp;" · "&amp;INDEX(Tareas!$D$6:$D$205,MATCH(B$5&amp;"_"&amp;133,Tareas!$N$6:$N$205,0),1)&amp;CHAR(10)&amp;INDEX(Tareas!$C$6:$C$205,MATCH(B$5&amp;"_"&amp;133,Tareas!$N$6:$N$205,0),1)&amp;CHAR(10)&amp;INDEX(Tareas!$E$6:$E$205,MATCH(B$5&amp;"_"&amp;133,Tareas!$N$6:$N$205,0),1)&amp;CHAR(10)&amp;INDEX(Tareas!$O$6:$O$205,MATCH(B$5&amp;"_"&amp;133,Tareas!$N$6:$N$205,0),1))</x:f>
      </x:c>
      <x:c r="C138" s="21" t="str">
        <x:f>IF(133&gt;C$4,"",INDEX(Tareas!$A$6:$A$205,MATCH(C$5&amp;"_"&amp;133,Tareas!$N$6:$N$205,0),1)&amp;" · "&amp;INDEX(Tareas!$D$6:$D$205,MATCH(C$5&amp;"_"&amp;133,Tareas!$N$6:$N$205,0),1)&amp;CHAR(10)&amp;INDEX(Tareas!$C$6:$C$205,MATCH(C$5&amp;"_"&amp;133,Tareas!$N$6:$N$205,0),1)&amp;CHAR(10)&amp;INDEX(Tareas!$E$6:$E$205,MATCH(C$5&amp;"_"&amp;133,Tareas!$N$6:$N$205,0),1)&amp;CHAR(10)&amp;INDEX(Tareas!$O$6:$O$205,MATCH(C$5&amp;"_"&amp;133,Tareas!$N$6:$N$205,0),1))</x:f>
      </x:c>
      <x:c r="D138" s="21" t="str">
        <x:f>IF(133&gt;D$4,"",INDEX(Tareas!$A$6:$A$205,MATCH(D$5&amp;"_"&amp;133,Tareas!$N$6:$N$205,0),1)&amp;" · "&amp;INDEX(Tareas!$D$6:$D$205,MATCH(D$5&amp;"_"&amp;133,Tareas!$N$6:$N$205,0),1)&amp;CHAR(10)&amp;INDEX(Tareas!$C$6:$C$205,MATCH(D$5&amp;"_"&amp;133,Tareas!$N$6:$N$205,0),1)&amp;CHAR(10)&amp;INDEX(Tareas!$E$6:$E$205,MATCH(D$5&amp;"_"&amp;133,Tareas!$N$6:$N$205,0),1)&amp;CHAR(10)&amp;INDEX(Tareas!$O$6:$O$205,MATCH(D$5&amp;"_"&amp;133,Tareas!$N$6:$N$205,0),1))</x:f>
      </x:c>
      <x:c r="E138" s="21" t="str">
        <x:f>IF(133&gt;E$4,"",INDEX(Tareas!$A$6:$A$205,MATCH(E$5&amp;"_"&amp;133,Tareas!$N$6:$N$205,0),1)&amp;" · "&amp;INDEX(Tareas!$D$6:$D$205,MATCH(E$5&amp;"_"&amp;133,Tareas!$N$6:$N$205,0),1)&amp;CHAR(10)&amp;INDEX(Tareas!$C$6:$C$205,MATCH(E$5&amp;"_"&amp;133,Tareas!$N$6:$N$205,0),1)&amp;CHAR(10)&amp;INDEX(Tareas!$E$6:$E$205,MATCH(E$5&amp;"_"&amp;133,Tareas!$N$6:$N$205,0),1)&amp;CHAR(10)&amp;INDEX(Tareas!$O$6:$O$205,MATCH(E$5&amp;"_"&amp;133,Tareas!$N$6:$N$205,0),1))</x:f>
      </x:c>
      <x:c r="F138" s="21" t="str">
        <x:f>IF(133&gt;F$4,"",INDEX(Tareas!$A$6:$A$205,MATCH(F$5&amp;"_"&amp;133,Tareas!$N$6:$N$205,0),1)&amp;" · "&amp;INDEX(Tareas!$D$6:$D$205,MATCH(F$5&amp;"_"&amp;133,Tareas!$N$6:$N$205,0),1)&amp;CHAR(10)&amp;INDEX(Tareas!$C$6:$C$205,MATCH(F$5&amp;"_"&amp;133,Tareas!$N$6:$N$205,0),1)&amp;CHAR(10)&amp;INDEX(Tareas!$E$6:$E$205,MATCH(F$5&amp;"_"&amp;133,Tareas!$N$6:$N$205,0),1)&amp;CHAR(10)&amp;INDEX(Tareas!$O$6:$O$205,MATCH(F$5&amp;"_"&amp;133,Tareas!$N$6:$N$205,0),1))</x:f>
      </x:c>
    </x:row>
    <x:row r="139" ht="76" customHeight="1">
      <x:c r="A139" s="21" t="str">
        <x:f>IF(134&gt;A$4,"",INDEX(Tareas!$A$6:$A$205,MATCH(A$5&amp;"_"&amp;134,Tareas!$N$6:$N$205,0),1)&amp;" · "&amp;INDEX(Tareas!$D$6:$D$205,MATCH(A$5&amp;"_"&amp;134,Tareas!$N$6:$N$205,0),1)&amp;CHAR(10)&amp;INDEX(Tareas!$C$6:$C$205,MATCH(A$5&amp;"_"&amp;134,Tareas!$N$6:$N$205,0),1)&amp;CHAR(10)&amp;INDEX(Tareas!$E$6:$E$205,MATCH(A$5&amp;"_"&amp;134,Tareas!$N$6:$N$205,0),1)&amp;CHAR(10)&amp;INDEX(Tareas!$O$6:$O$205,MATCH(A$5&amp;"_"&amp;134,Tareas!$N$6:$N$205,0),1))</x:f>
      </x:c>
      <x:c r="B139" s="21" t="str">
        <x:f>IF(134&gt;B$4,"",INDEX(Tareas!$A$6:$A$205,MATCH(B$5&amp;"_"&amp;134,Tareas!$N$6:$N$205,0),1)&amp;" · "&amp;INDEX(Tareas!$D$6:$D$205,MATCH(B$5&amp;"_"&amp;134,Tareas!$N$6:$N$205,0),1)&amp;CHAR(10)&amp;INDEX(Tareas!$C$6:$C$205,MATCH(B$5&amp;"_"&amp;134,Tareas!$N$6:$N$205,0),1)&amp;CHAR(10)&amp;INDEX(Tareas!$E$6:$E$205,MATCH(B$5&amp;"_"&amp;134,Tareas!$N$6:$N$205,0),1)&amp;CHAR(10)&amp;INDEX(Tareas!$O$6:$O$205,MATCH(B$5&amp;"_"&amp;134,Tareas!$N$6:$N$205,0),1))</x:f>
      </x:c>
      <x:c r="C139" s="21" t="str">
        <x:f>IF(134&gt;C$4,"",INDEX(Tareas!$A$6:$A$205,MATCH(C$5&amp;"_"&amp;134,Tareas!$N$6:$N$205,0),1)&amp;" · "&amp;INDEX(Tareas!$D$6:$D$205,MATCH(C$5&amp;"_"&amp;134,Tareas!$N$6:$N$205,0),1)&amp;CHAR(10)&amp;INDEX(Tareas!$C$6:$C$205,MATCH(C$5&amp;"_"&amp;134,Tareas!$N$6:$N$205,0),1)&amp;CHAR(10)&amp;INDEX(Tareas!$E$6:$E$205,MATCH(C$5&amp;"_"&amp;134,Tareas!$N$6:$N$205,0),1)&amp;CHAR(10)&amp;INDEX(Tareas!$O$6:$O$205,MATCH(C$5&amp;"_"&amp;134,Tareas!$N$6:$N$205,0),1))</x:f>
      </x:c>
      <x:c r="D139" s="21" t="str">
        <x:f>IF(134&gt;D$4,"",INDEX(Tareas!$A$6:$A$205,MATCH(D$5&amp;"_"&amp;134,Tareas!$N$6:$N$205,0),1)&amp;" · "&amp;INDEX(Tareas!$D$6:$D$205,MATCH(D$5&amp;"_"&amp;134,Tareas!$N$6:$N$205,0),1)&amp;CHAR(10)&amp;INDEX(Tareas!$C$6:$C$205,MATCH(D$5&amp;"_"&amp;134,Tareas!$N$6:$N$205,0),1)&amp;CHAR(10)&amp;INDEX(Tareas!$E$6:$E$205,MATCH(D$5&amp;"_"&amp;134,Tareas!$N$6:$N$205,0),1)&amp;CHAR(10)&amp;INDEX(Tareas!$O$6:$O$205,MATCH(D$5&amp;"_"&amp;134,Tareas!$N$6:$N$205,0),1))</x:f>
      </x:c>
      <x:c r="E139" s="21" t="str">
        <x:f>IF(134&gt;E$4,"",INDEX(Tareas!$A$6:$A$205,MATCH(E$5&amp;"_"&amp;134,Tareas!$N$6:$N$205,0),1)&amp;" · "&amp;INDEX(Tareas!$D$6:$D$205,MATCH(E$5&amp;"_"&amp;134,Tareas!$N$6:$N$205,0),1)&amp;CHAR(10)&amp;INDEX(Tareas!$C$6:$C$205,MATCH(E$5&amp;"_"&amp;134,Tareas!$N$6:$N$205,0),1)&amp;CHAR(10)&amp;INDEX(Tareas!$E$6:$E$205,MATCH(E$5&amp;"_"&amp;134,Tareas!$N$6:$N$205,0),1)&amp;CHAR(10)&amp;INDEX(Tareas!$O$6:$O$205,MATCH(E$5&amp;"_"&amp;134,Tareas!$N$6:$N$205,0),1))</x:f>
      </x:c>
      <x:c r="F139" s="21" t="str">
        <x:f>IF(134&gt;F$4,"",INDEX(Tareas!$A$6:$A$205,MATCH(F$5&amp;"_"&amp;134,Tareas!$N$6:$N$205,0),1)&amp;" · "&amp;INDEX(Tareas!$D$6:$D$205,MATCH(F$5&amp;"_"&amp;134,Tareas!$N$6:$N$205,0),1)&amp;CHAR(10)&amp;INDEX(Tareas!$C$6:$C$205,MATCH(F$5&amp;"_"&amp;134,Tareas!$N$6:$N$205,0),1)&amp;CHAR(10)&amp;INDEX(Tareas!$E$6:$E$205,MATCH(F$5&amp;"_"&amp;134,Tareas!$N$6:$N$205,0),1)&amp;CHAR(10)&amp;INDEX(Tareas!$O$6:$O$205,MATCH(F$5&amp;"_"&amp;134,Tareas!$N$6:$N$205,0),1))</x:f>
      </x:c>
    </x:row>
    <x:row r="140" ht="76" customHeight="1">
      <x:c r="A140" s="21" t="str">
        <x:f>IF(135&gt;A$4,"",INDEX(Tareas!$A$6:$A$205,MATCH(A$5&amp;"_"&amp;135,Tareas!$N$6:$N$205,0),1)&amp;" · "&amp;INDEX(Tareas!$D$6:$D$205,MATCH(A$5&amp;"_"&amp;135,Tareas!$N$6:$N$205,0),1)&amp;CHAR(10)&amp;INDEX(Tareas!$C$6:$C$205,MATCH(A$5&amp;"_"&amp;135,Tareas!$N$6:$N$205,0),1)&amp;CHAR(10)&amp;INDEX(Tareas!$E$6:$E$205,MATCH(A$5&amp;"_"&amp;135,Tareas!$N$6:$N$205,0),1)&amp;CHAR(10)&amp;INDEX(Tareas!$O$6:$O$205,MATCH(A$5&amp;"_"&amp;135,Tareas!$N$6:$N$205,0),1))</x:f>
      </x:c>
      <x:c r="B140" s="21" t="str">
        <x:f>IF(135&gt;B$4,"",INDEX(Tareas!$A$6:$A$205,MATCH(B$5&amp;"_"&amp;135,Tareas!$N$6:$N$205,0),1)&amp;" · "&amp;INDEX(Tareas!$D$6:$D$205,MATCH(B$5&amp;"_"&amp;135,Tareas!$N$6:$N$205,0),1)&amp;CHAR(10)&amp;INDEX(Tareas!$C$6:$C$205,MATCH(B$5&amp;"_"&amp;135,Tareas!$N$6:$N$205,0),1)&amp;CHAR(10)&amp;INDEX(Tareas!$E$6:$E$205,MATCH(B$5&amp;"_"&amp;135,Tareas!$N$6:$N$205,0),1)&amp;CHAR(10)&amp;INDEX(Tareas!$O$6:$O$205,MATCH(B$5&amp;"_"&amp;135,Tareas!$N$6:$N$205,0),1))</x:f>
      </x:c>
      <x:c r="C140" s="21" t="str">
        <x:f>IF(135&gt;C$4,"",INDEX(Tareas!$A$6:$A$205,MATCH(C$5&amp;"_"&amp;135,Tareas!$N$6:$N$205,0),1)&amp;" · "&amp;INDEX(Tareas!$D$6:$D$205,MATCH(C$5&amp;"_"&amp;135,Tareas!$N$6:$N$205,0),1)&amp;CHAR(10)&amp;INDEX(Tareas!$C$6:$C$205,MATCH(C$5&amp;"_"&amp;135,Tareas!$N$6:$N$205,0),1)&amp;CHAR(10)&amp;INDEX(Tareas!$E$6:$E$205,MATCH(C$5&amp;"_"&amp;135,Tareas!$N$6:$N$205,0),1)&amp;CHAR(10)&amp;INDEX(Tareas!$O$6:$O$205,MATCH(C$5&amp;"_"&amp;135,Tareas!$N$6:$N$205,0),1))</x:f>
      </x:c>
      <x:c r="D140" s="21" t="str">
        <x:f>IF(135&gt;D$4,"",INDEX(Tareas!$A$6:$A$205,MATCH(D$5&amp;"_"&amp;135,Tareas!$N$6:$N$205,0),1)&amp;" · "&amp;INDEX(Tareas!$D$6:$D$205,MATCH(D$5&amp;"_"&amp;135,Tareas!$N$6:$N$205,0),1)&amp;CHAR(10)&amp;INDEX(Tareas!$C$6:$C$205,MATCH(D$5&amp;"_"&amp;135,Tareas!$N$6:$N$205,0),1)&amp;CHAR(10)&amp;INDEX(Tareas!$E$6:$E$205,MATCH(D$5&amp;"_"&amp;135,Tareas!$N$6:$N$205,0),1)&amp;CHAR(10)&amp;INDEX(Tareas!$O$6:$O$205,MATCH(D$5&amp;"_"&amp;135,Tareas!$N$6:$N$205,0),1))</x:f>
      </x:c>
      <x:c r="E140" s="21" t="str">
        <x:f>IF(135&gt;E$4,"",INDEX(Tareas!$A$6:$A$205,MATCH(E$5&amp;"_"&amp;135,Tareas!$N$6:$N$205,0),1)&amp;" · "&amp;INDEX(Tareas!$D$6:$D$205,MATCH(E$5&amp;"_"&amp;135,Tareas!$N$6:$N$205,0),1)&amp;CHAR(10)&amp;INDEX(Tareas!$C$6:$C$205,MATCH(E$5&amp;"_"&amp;135,Tareas!$N$6:$N$205,0),1)&amp;CHAR(10)&amp;INDEX(Tareas!$E$6:$E$205,MATCH(E$5&amp;"_"&amp;135,Tareas!$N$6:$N$205,0),1)&amp;CHAR(10)&amp;INDEX(Tareas!$O$6:$O$205,MATCH(E$5&amp;"_"&amp;135,Tareas!$N$6:$N$205,0),1))</x:f>
      </x:c>
      <x:c r="F140" s="21" t="str">
        <x:f>IF(135&gt;F$4,"",INDEX(Tareas!$A$6:$A$205,MATCH(F$5&amp;"_"&amp;135,Tareas!$N$6:$N$205,0),1)&amp;" · "&amp;INDEX(Tareas!$D$6:$D$205,MATCH(F$5&amp;"_"&amp;135,Tareas!$N$6:$N$205,0),1)&amp;CHAR(10)&amp;INDEX(Tareas!$C$6:$C$205,MATCH(F$5&amp;"_"&amp;135,Tareas!$N$6:$N$205,0),1)&amp;CHAR(10)&amp;INDEX(Tareas!$E$6:$E$205,MATCH(F$5&amp;"_"&amp;135,Tareas!$N$6:$N$205,0),1)&amp;CHAR(10)&amp;INDEX(Tareas!$O$6:$O$205,MATCH(F$5&amp;"_"&amp;135,Tareas!$N$6:$N$205,0),1))</x:f>
      </x:c>
    </x:row>
    <x:row r="141" ht="76" customHeight="1">
      <x:c r="A141" s="21" t="str">
        <x:f>IF(136&gt;A$4,"",INDEX(Tareas!$A$6:$A$205,MATCH(A$5&amp;"_"&amp;136,Tareas!$N$6:$N$205,0),1)&amp;" · "&amp;INDEX(Tareas!$D$6:$D$205,MATCH(A$5&amp;"_"&amp;136,Tareas!$N$6:$N$205,0),1)&amp;CHAR(10)&amp;INDEX(Tareas!$C$6:$C$205,MATCH(A$5&amp;"_"&amp;136,Tareas!$N$6:$N$205,0),1)&amp;CHAR(10)&amp;INDEX(Tareas!$E$6:$E$205,MATCH(A$5&amp;"_"&amp;136,Tareas!$N$6:$N$205,0),1)&amp;CHAR(10)&amp;INDEX(Tareas!$O$6:$O$205,MATCH(A$5&amp;"_"&amp;136,Tareas!$N$6:$N$205,0),1))</x:f>
      </x:c>
      <x:c r="B141" s="21" t="str">
        <x:f>IF(136&gt;B$4,"",INDEX(Tareas!$A$6:$A$205,MATCH(B$5&amp;"_"&amp;136,Tareas!$N$6:$N$205,0),1)&amp;" · "&amp;INDEX(Tareas!$D$6:$D$205,MATCH(B$5&amp;"_"&amp;136,Tareas!$N$6:$N$205,0),1)&amp;CHAR(10)&amp;INDEX(Tareas!$C$6:$C$205,MATCH(B$5&amp;"_"&amp;136,Tareas!$N$6:$N$205,0),1)&amp;CHAR(10)&amp;INDEX(Tareas!$E$6:$E$205,MATCH(B$5&amp;"_"&amp;136,Tareas!$N$6:$N$205,0),1)&amp;CHAR(10)&amp;INDEX(Tareas!$O$6:$O$205,MATCH(B$5&amp;"_"&amp;136,Tareas!$N$6:$N$205,0),1))</x:f>
      </x:c>
      <x:c r="C141" s="21" t="str">
        <x:f>IF(136&gt;C$4,"",INDEX(Tareas!$A$6:$A$205,MATCH(C$5&amp;"_"&amp;136,Tareas!$N$6:$N$205,0),1)&amp;" · "&amp;INDEX(Tareas!$D$6:$D$205,MATCH(C$5&amp;"_"&amp;136,Tareas!$N$6:$N$205,0),1)&amp;CHAR(10)&amp;INDEX(Tareas!$C$6:$C$205,MATCH(C$5&amp;"_"&amp;136,Tareas!$N$6:$N$205,0),1)&amp;CHAR(10)&amp;INDEX(Tareas!$E$6:$E$205,MATCH(C$5&amp;"_"&amp;136,Tareas!$N$6:$N$205,0),1)&amp;CHAR(10)&amp;INDEX(Tareas!$O$6:$O$205,MATCH(C$5&amp;"_"&amp;136,Tareas!$N$6:$N$205,0),1))</x:f>
      </x:c>
      <x:c r="D141" s="21" t="str">
        <x:f>IF(136&gt;D$4,"",INDEX(Tareas!$A$6:$A$205,MATCH(D$5&amp;"_"&amp;136,Tareas!$N$6:$N$205,0),1)&amp;" · "&amp;INDEX(Tareas!$D$6:$D$205,MATCH(D$5&amp;"_"&amp;136,Tareas!$N$6:$N$205,0),1)&amp;CHAR(10)&amp;INDEX(Tareas!$C$6:$C$205,MATCH(D$5&amp;"_"&amp;136,Tareas!$N$6:$N$205,0),1)&amp;CHAR(10)&amp;INDEX(Tareas!$E$6:$E$205,MATCH(D$5&amp;"_"&amp;136,Tareas!$N$6:$N$205,0),1)&amp;CHAR(10)&amp;INDEX(Tareas!$O$6:$O$205,MATCH(D$5&amp;"_"&amp;136,Tareas!$N$6:$N$205,0),1))</x:f>
      </x:c>
      <x:c r="E141" s="21" t="str">
        <x:f>IF(136&gt;E$4,"",INDEX(Tareas!$A$6:$A$205,MATCH(E$5&amp;"_"&amp;136,Tareas!$N$6:$N$205,0),1)&amp;" · "&amp;INDEX(Tareas!$D$6:$D$205,MATCH(E$5&amp;"_"&amp;136,Tareas!$N$6:$N$205,0),1)&amp;CHAR(10)&amp;INDEX(Tareas!$C$6:$C$205,MATCH(E$5&amp;"_"&amp;136,Tareas!$N$6:$N$205,0),1)&amp;CHAR(10)&amp;INDEX(Tareas!$E$6:$E$205,MATCH(E$5&amp;"_"&amp;136,Tareas!$N$6:$N$205,0),1)&amp;CHAR(10)&amp;INDEX(Tareas!$O$6:$O$205,MATCH(E$5&amp;"_"&amp;136,Tareas!$N$6:$N$205,0),1))</x:f>
      </x:c>
      <x:c r="F141" s="21" t="str">
        <x:f>IF(136&gt;F$4,"",INDEX(Tareas!$A$6:$A$205,MATCH(F$5&amp;"_"&amp;136,Tareas!$N$6:$N$205,0),1)&amp;" · "&amp;INDEX(Tareas!$D$6:$D$205,MATCH(F$5&amp;"_"&amp;136,Tareas!$N$6:$N$205,0),1)&amp;CHAR(10)&amp;INDEX(Tareas!$C$6:$C$205,MATCH(F$5&amp;"_"&amp;136,Tareas!$N$6:$N$205,0),1)&amp;CHAR(10)&amp;INDEX(Tareas!$E$6:$E$205,MATCH(F$5&amp;"_"&amp;136,Tareas!$N$6:$N$205,0),1)&amp;CHAR(10)&amp;INDEX(Tareas!$O$6:$O$205,MATCH(F$5&amp;"_"&amp;136,Tareas!$N$6:$N$205,0),1))</x:f>
      </x:c>
    </x:row>
    <x:row r="142" ht="76" customHeight="1">
      <x:c r="A142" s="21" t="str">
        <x:f>IF(137&gt;A$4,"",INDEX(Tareas!$A$6:$A$205,MATCH(A$5&amp;"_"&amp;137,Tareas!$N$6:$N$205,0),1)&amp;" · "&amp;INDEX(Tareas!$D$6:$D$205,MATCH(A$5&amp;"_"&amp;137,Tareas!$N$6:$N$205,0),1)&amp;CHAR(10)&amp;INDEX(Tareas!$C$6:$C$205,MATCH(A$5&amp;"_"&amp;137,Tareas!$N$6:$N$205,0),1)&amp;CHAR(10)&amp;INDEX(Tareas!$E$6:$E$205,MATCH(A$5&amp;"_"&amp;137,Tareas!$N$6:$N$205,0),1)&amp;CHAR(10)&amp;INDEX(Tareas!$O$6:$O$205,MATCH(A$5&amp;"_"&amp;137,Tareas!$N$6:$N$205,0),1))</x:f>
      </x:c>
      <x:c r="B142" s="21" t="str">
        <x:f>IF(137&gt;B$4,"",INDEX(Tareas!$A$6:$A$205,MATCH(B$5&amp;"_"&amp;137,Tareas!$N$6:$N$205,0),1)&amp;" · "&amp;INDEX(Tareas!$D$6:$D$205,MATCH(B$5&amp;"_"&amp;137,Tareas!$N$6:$N$205,0),1)&amp;CHAR(10)&amp;INDEX(Tareas!$C$6:$C$205,MATCH(B$5&amp;"_"&amp;137,Tareas!$N$6:$N$205,0),1)&amp;CHAR(10)&amp;INDEX(Tareas!$E$6:$E$205,MATCH(B$5&amp;"_"&amp;137,Tareas!$N$6:$N$205,0),1)&amp;CHAR(10)&amp;INDEX(Tareas!$O$6:$O$205,MATCH(B$5&amp;"_"&amp;137,Tareas!$N$6:$N$205,0),1))</x:f>
      </x:c>
      <x:c r="C142" s="21" t="str">
        <x:f>IF(137&gt;C$4,"",INDEX(Tareas!$A$6:$A$205,MATCH(C$5&amp;"_"&amp;137,Tareas!$N$6:$N$205,0),1)&amp;" · "&amp;INDEX(Tareas!$D$6:$D$205,MATCH(C$5&amp;"_"&amp;137,Tareas!$N$6:$N$205,0),1)&amp;CHAR(10)&amp;INDEX(Tareas!$C$6:$C$205,MATCH(C$5&amp;"_"&amp;137,Tareas!$N$6:$N$205,0),1)&amp;CHAR(10)&amp;INDEX(Tareas!$E$6:$E$205,MATCH(C$5&amp;"_"&amp;137,Tareas!$N$6:$N$205,0),1)&amp;CHAR(10)&amp;INDEX(Tareas!$O$6:$O$205,MATCH(C$5&amp;"_"&amp;137,Tareas!$N$6:$N$205,0),1))</x:f>
      </x:c>
      <x:c r="D142" s="21" t="str">
        <x:f>IF(137&gt;D$4,"",INDEX(Tareas!$A$6:$A$205,MATCH(D$5&amp;"_"&amp;137,Tareas!$N$6:$N$205,0),1)&amp;" · "&amp;INDEX(Tareas!$D$6:$D$205,MATCH(D$5&amp;"_"&amp;137,Tareas!$N$6:$N$205,0),1)&amp;CHAR(10)&amp;INDEX(Tareas!$C$6:$C$205,MATCH(D$5&amp;"_"&amp;137,Tareas!$N$6:$N$205,0),1)&amp;CHAR(10)&amp;INDEX(Tareas!$E$6:$E$205,MATCH(D$5&amp;"_"&amp;137,Tareas!$N$6:$N$205,0),1)&amp;CHAR(10)&amp;INDEX(Tareas!$O$6:$O$205,MATCH(D$5&amp;"_"&amp;137,Tareas!$N$6:$N$205,0),1))</x:f>
      </x:c>
      <x:c r="E142" s="21" t="str">
        <x:f>IF(137&gt;E$4,"",INDEX(Tareas!$A$6:$A$205,MATCH(E$5&amp;"_"&amp;137,Tareas!$N$6:$N$205,0),1)&amp;" · "&amp;INDEX(Tareas!$D$6:$D$205,MATCH(E$5&amp;"_"&amp;137,Tareas!$N$6:$N$205,0),1)&amp;CHAR(10)&amp;INDEX(Tareas!$C$6:$C$205,MATCH(E$5&amp;"_"&amp;137,Tareas!$N$6:$N$205,0),1)&amp;CHAR(10)&amp;INDEX(Tareas!$E$6:$E$205,MATCH(E$5&amp;"_"&amp;137,Tareas!$N$6:$N$205,0),1)&amp;CHAR(10)&amp;INDEX(Tareas!$O$6:$O$205,MATCH(E$5&amp;"_"&amp;137,Tareas!$N$6:$N$205,0),1))</x:f>
      </x:c>
      <x:c r="F142" s="21" t="str">
        <x:f>IF(137&gt;F$4,"",INDEX(Tareas!$A$6:$A$205,MATCH(F$5&amp;"_"&amp;137,Tareas!$N$6:$N$205,0),1)&amp;" · "&amp;INDEX(Tareas!$D$6:$D$205,MATCH(F$5&amp;"_"&amp;137,Tareas!$N$6:$N$205,0),1)&amp;CHAR(10)&amp;INDEX(Tareas!$C$6:$C$205,MATCH(F$5&amp;"_"&amp;137,Tareas!$N$6:$N$205,0),1)&amp;CHAR(10)&amp;INDEX(Tareas!$E$6:$E$205,MATCH(F$5&amp;"_"&amp;137,Tareas!$N$6:$N$205,0),1)&amp;CHAR(10)&amp;INDEX(Tareas!$O$6:$O$205,MATCH(F$5&amp;"_"&amp;137,Tareas!$N$6:$N$205,0),1))</x:f>
      </x:c>
    </x:row>
    <x:row r="143" ht="76" customHeight="1">
      <x:c r="A143" s="21" t="str">
        <x:f>IF(138&gt;A$4,"",INDEX(Tareas!$A$6:$A$205,MATCH(A$5&amp;"_"&amp;138,Tareas!$N$6:$N$205,0),1)&amp;" · "&amp;INDEX(Tareas!$D$6:$D$205,MATCH(A$5&amp;"_"&amp;138,Tareas!$N$6:$N$205,0),1)&amp;CHAR(10)&amp;INDEX(Tareas!$C$6:$C$205,MATCH(A$5&amp;"_"&amp;138,Tareas!$N$6:$N$205,0),1)&amp;CHAR(10)&amp;INDEX(Tareas!$E$6:$E$205,MATCH(A$5&amp;"_"&amp;138,Tareas!$N$6:$N$205,0),1)&amp;CHAR(10)&amp;INDEX(Tareas!$O$6:$O$205,MATCH(A$5&amp;"_"&amp;138,Tareas!$N$6:$N$205,0),1))</x:f>
      </x:c>
      <x:c r="B143" s="21" t="str">
        <x:f>IF(138&gt;B$4,"",INDEX(Tareas!$A$6:$A$205,MATCH(B$5&amp;"_"&amp;138,Tareas!$N$6:$N$205,0),1)&amp;" · "&amp;INDEX(Tareas!$D$6:$D$205,MATCH(B$5&amp;"_"&amp;138,Tareas!$N$6:$N$205,0),1)&amp;CHAR(10)&amp;INDEX(Tareas!$C$6:$C$205,MATCH(B$5&amp;"_"&amp;138,Tareas!$N$6:$N$205,0),1)&amp;CHAR(10)&amp;INDEX(Tareas!$E$6:$E$205,MATCH(B$5&amp;"_"&amp;138,Tareas!$N$6:$N$205,0),1)&amp;CHAR(10)&amp;INDEX(Tareas!$O$6:$O$205,MATCH(B$5&amp;"_"&amp;138,Tareas!$N$6:$N$205,0),1))</x:f>
      </x:c>
      <x:c r="C143" s="21" t="str">
        <x:f>IF(138&gt;C$4,"",INDEX(Tareas!$A$6:$A$205,MATCH(C$5&amp;"_"&amp;138,Tareas!$N$6:$N$205,0),1)&amp;" · "&amp;INDEX(Tareas!$D$6:$D$205,MATCH(C$5&amp;"_"&amp;138,Tareas!$N$6:$N$205,0),1)&amp;CHAR(10)&amp;INDEX(Tareas!$C$6:$C$205,MATCH(C$5&amp;"_"&amp;138,Tareas!$N$6:$N$205,0),1)&amp;CHAR(10)&amp;INDEX(Tareas!$E$6:$E$205,MATCH(C$5&amp;"_"&amp;138,Tareas!$N$6:$N$205,0),1)&amp;CHAR(10)&amp;INDEX(Tareas!$O$6:$O$205,MATCH(C$5&amp;"_"&amp;138,Tareas!$N$6:$N$205,0),1))</x:f>
      </x:c>
      <x:c r="D143" s="21" t="str">
        <x:f>IF(138&gt;D$4,"",INDEX(Tareas!$A$6:$A$205,MATCH(D$5&amp;"_"&amp;138,Tareas!$N$6:$N$205,0),1)&amp;" · "&amp;INDEX(Tareas!$D$6:$D$205,MATCH(D$5&amp;"_"&amp;138,Tareas!$N$6:$N$205,0),1)&amp;CHAR(10)&amp;INDEX(Tareas!$C$6:$C$205,MATCH(D$5&amp;"_"&amp;138,Tareas!$N$6:$N$205,0),1)&amp;CHAR(10)&amp;INDEX(Tareas!$E$6:$E$205,MATCH(D$5&amp;"_"&amp;138,Tareas!$N$6:$N$205,0),1)&amp;CHAR(10)&amp;INDEX(Tareas!$O$6:$O$205,MATCH(D$5&amp;"_"&amp;138,Tareas!$N$6:$N$205,0),1))</x:f>
      </x:c>
      <x:c r="E143" s="21" t="str">
        <x:f>IF(138&gt;E$4,"",INDEX(Tareas!$A$6:$A$205,MATCH(E$5&amp;"_"&amp;138,Tareas!$N$6:$N$205,0),1)&amp;" · "&amp;INDEX(Tareas!$D$6:$D$205,MATCH(E$5&amp;"_"&amp;138,Tareas!$N$6:$N$205,0),1)&amp;CHAR(10)&amp;INDEX(Tareas!$C$6:$C$205,MATCH(E$5&amp;"_"&amp;138,Tareas!$N$6:$N$205,0),1)&amp;CHAR(10)&amp;INDEX(Tareas!$E$6:$E$205,MATCH(E$5&amp;"_"&amp;138,Tareas!$N$6:$N$205,0),1)&amp;CHAR(10)&amp;INDEX(Tareas!$O$6:$O$205,MATCH(E$5&amp;"_"&amp;138,Tareas!$N$6:$N$205,0),1))</x:f>
      </x:c>
      <x:c r="F143" s="21" t="str">
        <x:f>IF(138&gt;F$4,"",INDEX(Tareas!$A$6:$A$205,MATCH(F$5&amp;"_"&amp;138,Tareas!$N$6:$N$205,0),1)&amp;" · "&amp;INDEX(Tareas!$D$6:$D$205,MATCH(F$5&amp;"_"&amp;138,Tareas!$N$6:$N$205,0),1)&amp;CHAR(10)&amp;INDEX(Tareas!$C$6:$C$205,MATCH(F$5&amp;"_"&amp;138,Tareas!$N$6:$N$205,0),1)&amp;CHAR(10)&amp;INDEX(Tareas!$E$6:$E$205,MATCH(F$5&amp;"_"&amp;138,Tareas!$N$6:$N$205,0),1)&amp;CHAR(10)&amp;INDEX(Tareas!$O$6:$O$205,MATCH(F$5&amp;"_"&amp;138,Tareas!$N$6:$N$205,0),1))</x:f>
      </x:c>
    </x:row>
    <x:row r="144" ht="76" customHeight="1">
      <x:c r="A144" s="21" t="str">
        <x:f>IF(139&gt;A$4,"",INDEX(Tareas!$A$6:$A$205,MATCH(A$5&amp;"_"&amp;139,Tareas!$N$6:$N$205,0),1)&amp;" · "&amp;INDEX(Tareas!$D$6:$D$205,MATCH(A$5&amp;"_"&amp;139,Tareas!$N$6:$N$205,0),1)&amp;CHAR(10)&amp;INDEX(Tareas!$C$6:$C$205,MATCH(A$5&amp;"_"&amp;139,Tareas!$N$6:$N$205,0),1)&amp;CHAR(10)&amp;INDEX(Tareas!$E$6:$E$205,MATCH(A$5&amp;"_"&amp;139,Tareas!$N$6:$N$205,0),1)&amp;CHAR(10)&amp;INDEX(Tareas!$O$6:$O$205,MATCH(A$5&amp;"_"&amp;139,Tareas!$N$6:$N$205,0),1))</x:f>
      </x:c>
      <x:c r="B144" s="21" t="str">
        <x:f>IF(139&gt;B$4,"",INDEX(Tareas!$A$6:$A$205,MATCH(B$5&amp;"_"&amp;139,Tareas!$N$6:$N$205,0),1)&amp;" · "&amp;INDEX(Tareas!$D$6:$D$205,MATCH(B$5&amp;"_"&amp;139,Tareas!$N$6:$N$205,0),1)&amp;CHAR(10)&amp;INDEX(Tareas!$C$6:$C$205,MATCH(B$5&amp;"_"&amp;139,Tareas!$N$6:$N$205,0),1)&amp;CHAR(10)&amp;INDEX(Tareas!$E$6:$E$205,MATCH(B$5&amp;"_"&amp;139,Tareas!$N$6:$N$205,0),1)&amp;CHAR(10)&amp;INDEX(Tareas!$O$6:$O$205,MATCH(B$5&amp;"_"&amp;139,Tareas!$N$6:$N$205,0),1))</x:f>
      </x:c>
      <x:c r="C144" s="21" t="str">
        <x:f>IF(139&gt;C$4,"",INDEX(Tareas!$A$6:$A$205,MATCH(C$5&amp;"_"&amp;139,Tareas!$N$6:$N$205,0),1)&amp;" · "&amp;INDEX(Tareas!$D$6:$D$205,MATCH(C$5&amp;"_"&amp;139,Tareas!$N$6:$N$205,0),1)&amp;CHAR(10)&amp;INDEX(Tareas!$C$6:$C$205,MATCH(C$5&amp;"_"&amp;139,Tareas!$N$6:$N$205,0),1)&amp;CHAR(10)&amp;INDEX(Tareas!$E$6:$E$205,MATCH(C$5&amp;"_"&amp;139,Tareas!$N$6:$N$205,0),1)&amp;CHAR(10)&amp;INDEX(Tareas!$O$6:$O$205,MATCH(C$5&amp;"_"&amp;139,Tareas!$N$6:$N$205,0),1))</x:f>
      </x:c>
      <x:c r="D144" s="21" t="str">
        <x:f>IF(139&gt;D$4,"",INDEX(Tareas!$A$6:$A$205,MATCH(D$5&amp;"_"&amp;139,Tareas!$N$6:$N$205,0),1)&amp;" · "&amp;INDEX(Tareas!$D$6:$D$205,MATCH(D$5&amp;"_"&amp;139,Tareas!$N$6:$N$205,0),1)&amp;CHAR(10)&amp;INDEX(Tareas!$C$6:$C$205,MATCH(D$5&amp;"_"&amp;139,Tareas!$N$6:$N$205,0),1)&amp;CHAR(10)&amp;INDEX(Tareas!$E$6:$E$205,MATCH(D$5&amp;"_"&amp;139,Tareas!$N$6:$N$205,0),1)&amp;CHAR(10)&amp;INDEX(Tareas!$O$6:$O$205,MATCH(D$5&amp;"_"&amp;139,Tareas!$N$6:$N$205,0),1))</x:f>
      </x:c>
      <x:c r="E144" s="21" t="str">
        <x:f>IF(139&gt;E$4,"",INDEX(Tareas!$A$6:$A$205,MATCH(E$5&amp;"_"&amp;139,Tareas!$N$6:$N$205,0),1)&amp;" · "&amp;INDEX(Tareas!$D$6:$D$205,MATCH(E$5&amp;"_"&amp;139,Tareas!$N$6:$N$205,0),1)&amp;CHAR(10)&amp;INDEX(Tareas!$C$6:$C$205,MATCH(E$5&amp;"_"&amp;139,Tareas!$N$6:$N$205,0),1)&amp;CHAR(10)&amp;INDEX(Tareas!$E$6:$E$205,MATCH(E$5&amp;"_"&amp;139,Tareas!$N$6:$N$205,0),1)&amp;CHAR(10)&amp;INDEX(Tareas!$O$6:$O$205,MATCH(E$5&amp;"_"&amp;139,Tareas!$N$6:$N$205,0),1))</x:f>
      </x:c>
      <x:c r="F144" s="21" t="str">
        <x:f>IF(139&gt;F$4,"",INDEX(Tareas!$A$6:$A$205,MATCH(F$5&amp;"_"&amp;139,Tareas!$N$6:$N$205,0),1)&amp;" · "&amp;INDEX(Tareas!$D$6:$D$205,MATCH(F$5&amp;"_"&amp;139,Tareas!$N$6:$N$205,0),1)&amp;CHAR(10)&amp;INDEX(Tareas!$C$6:$C$205,MATCH(F$5&amp;"_"&amp;139,Tareas!$N$6:$N$205,0),1)&amp;CHAR(10)&amp;INDEX(Tareas!$E$6:$E$205,MATCH(F$5&amp;"_"&amp;139,Tareas!$N$6:$N$205,0),1)&amp;CHAR(10)&amp;INDEX(Tareas!$O$6:$O$205,MATCH(F$5&amp;"_"&amp;139,Tareas!$N$6:$N$205,0),1))</x:f>
      </x:c>
    </x:row>
    <x:row r="145" ht="76" customHeight="1">
      <x:c r="A145" s="21" t="str">
        <x:f>IF(140&gt;A$4,"",INDEX(Tareas!$A$6:$A$205,MATCH(A$5&amp;"_"&amp;140,Tareas!$N$6:$N$205,0),1)&amp;" · "&amp;INDEX(Tareas!$D$6:$D$205,MATCH(A$5&amp;"_"&amp;140,Tareas!$N$6:$N$205,0),1)&amp;CHAR(10)&amp;INDEX(Tareas!$C$6:$C$205,MATCH(A$5&amp;"_"&amp;140,Tareas!$N$6:$N$205,0),1)&amp;CHAR(10)&amp;INDEX(Tareas!$E$6:$E$205,MATCH(A$5&amp;"_"&amp;140,Tareas!$N$6:$N$205,0),1)&amp;CHAR(10)&amp;INDEX(Tareas!$O$6:$O$205,MATCH(A$5&amp;"_"&amp;140,Tareas!$N$6:$N$205,0),1))</x:f>
      </x:c>
      <x:c r="B145" s="21" t="str">
        <x:f>IF(140&gt;B$4,"",INDEX(Tareas!$A$6:$A$205,MATCH(B$5&amp;"_"&amp;140,Tareas!$N$6:$N$205,0),1)&amp;" · "&amp;INDEX(Tareas!$D$6:$D$205,MATCH(B$5&amp;"_"&amp;140,Tareas!$N$6:$N$205,0),1)&amp;CHAR(10)&amp;INDEX(Tareas!$C$6:$C$205,MATCH(B$5&amp;"_"&amp;140,Tareas!$N$6:$N$205,0),1)&amp;CHAR(10)&amp;INDEX(Tareas!$E$6:$E$205,MATCH(B$5&amp;"_"&amp;140,Tareas!$N$6:$N$205,0),1)&amp;CHAR(10)&amp;INDEX(Tareas!$O$6:$O$205,MATCH(B$5&amp;"_"&amp;140,Tareas!$N$6:$N$205,0),1))</x:f>
      </x:c>
      <x:c r="C145" s="21" t="str">
        <x:f>IF(140&gt;C$4,"",INDEX(Tareas!$A$6:$A$205,MATCH(C$5&amp;"_"&amp;140,Tareas!$N$6:$N$205,0),1)&amp;" · "&amp;INDEX(Tareas!$D$6:$D$205,MATCH(C$5&amp;"_"&amp;140,Tareas!$N$6:$N$205,0),1)&amp;CHAR(10)&amp;INDEX(Tareas!$C$6:$C$205,MATCH(C$5&amp;"_"&amp;140,Tareas!$N$6:$N$205,0),1)&amp;CHAR(10)&amp;INDEX(Tareas!$E$6:$E$205,MATCH(C$5&amp;"_"&amp;140,Tareas!$N$6:$N$205,0),1)&amp;CHAR(10)&amp;INDEX(Tareas!$O$6:$O$205,MATCH(C$5&amp;"_"&amp;140,Tareas!$N$6:$N$205,0),1))</x:f>
      </x:c>
      <x:c r="D145" s="21" t="str">
        <x:f>IF(140&gt;D$4,"",INDEX(Tareas!$A$6:$A$205,MATCH(D$5&amp;"_"&amp;140,Tareas!$N$6:$N$205,0),1)&amp;" · "&amp;INDEX(Tareas!$D$6:$D$205,MATCH(D$5&amp;"_"&amp;140,Tareas!$N$6:$N$205,0),1)&amp;CHAR(10)&amp;INDEX(Tareas!$C$6:$C$205,MATCH(D$5&amp;"_"&amp;140,Tareas!$N$6:$N$205,0),1)&amp;CHAR(10)&amp;INDEX(Tareas!$E$6:$E$205,MATCH(D$5&amp;"_"&amp;140,Tareas!$N$6:$N$205,0),1)&amp;CHAR(10)&amp;INDEX(Tareas!$O$6:$O$205,MATCH(D$5&amp;"_"&amp;140,Tareas!$N$6:$N$205,0),1))</x:f>
      </x:c>
      <x:c r="E145" s="21" t="str">
        <x:f>IF(140&gt;E$4,"",INDEX(Tareas!$A$6:$A$205,MATCH(E$5&amp;"_"&amp;140,Tareas!$N$6:$N$205,0),1)&amp;" · "&amp;INDEX(Tareas!$D$6:$D$205,MATCH(E$5&amp;"_"&amp;140,Tareas!$N$6:$N$205,0),1)&amp;CHAR(10)&amp;INDEX(Tareas!$C$6:$C$205,MATCH(E$5&amp;"_"&amp;140,Tareas!$N$6:$N$205,0),1)&amp;CHAR(10)&amp;INDEX(Tareas!$E$6:$E$205,MATCH(E$5&amp;"_"&amp;140,Tareas!$N$6:$N$205,0),1)&amp;CHAR(10)&amp;INDEX(Tareas!$O$6:$O$205,MATCH(E$5&amp;"_"&amp;140,Tareas!$N$6:$N$205,0),1))</x:f>
      </x:c>
      <x:c r="F145" s="21" t="str">
        <x:f>IF(140&gt;F$4,"",INDEX(Tareas!$A$6:$A$205,MATCH(F$5&amp;"_"&amp;140,Tareas!$N$6:$N$205,0),1)&amp;" · "&amp;INDEX(Tareas!$D$6:$D$205,MATCH(F$5&amp;"_"&amp;140,Tareas!$N$6:$N$205,0),1)&amp;CHAR(10)&amp;INDEX(Tareas!$C$6:$C$205,MATCH(F$5&amp;"_"&amp;140,Tareas!$N$6:$N$205,0),1)&amp;CHAR(10)&amp;INDEX(Tareas!$E$6:$E$205,MATCH(F$5&amp;"_"&amp;140,Tareas!$N$6:$N$205,0),1)&amp;CHAR(10)&amp;INDEX(Tareas!$O$6:$O$205,MATCH(F$5&amp;"_"&amp;140,Tareas!$N$6:$N$205,0),1))</x:f>
      </x:c>
    </x:row>
    <x:row r="146" ht="76" customHeight="1">
      <x:c r="A146" s="21" t="str">
        <x:f>IF(141&gt;A$4,"",INDEX(Tareas!$A$6:$A$205,MATCH(A$5&amp;"_"&amp;141,Tareas!$N$6:$N$205,0),1)&amp;" · "&amp;INDEX(Tareas!$D$6:$D$205,MATCH(A$5&amp;"_"&amp;141,Tareas!$N$6:$N$205,0),1)&amp;CHAR(10)&amp;INDEX(Tareas!$C$6:$C$205,MATCH(A$5&amp;"_"&amp;141,Tareas!$N$6:$N$205,0),1)&amp;CHAR(10)&amp;INDEX(Tareas!$E$6:$E$205,MATCH(A$5&amp;"_"&amp;141,Tareas!$N$6:$N$205,0),1)&amp;CHAR(10)&amp;INDEX(Tareas!$O$6:$O$205,MATCH(A$5&amp;"_"&amp;141,Tareas!$N$6:$N$205,0),1))</x:f>
      </x:c>
      <x:c r="B146" s="21" t="str">
        <x:f>IF(141&gt;B$4,"",INDEX(Tareas!$A$6:$A$205,MATCH(B$5&amp;"_"&amp;141,Tareas!$N$6:$N$205,0),1)&amp;" · "&amp;INDEX(Tareas!$D$6:$D$205,MATCH(B$5&amp;"_"&amp;141,Tareas!$N$6:$N$205,0),1)&amp;CHAR(10)&amp;INDEX(Tareas!$C$6:$C$205,MATCH(B$5&amp;"_"&amp;141,Tareas!$N$6:$N$205,0),1)&amp;CHAR(10)&amp;INDEX(Tareas!$E$6:$E$205,MATCH(B$5&amp;"_"&amp;141,Tareas!$N$6:$N$205,0),1)&amp;CHAR(10)&amp;INDEX(Tareas!$O$6:$O$205,MATCH(B$5&amp;"_"&amp;141,Tareas!$N$6:$N$205,0),1))</x:f>
      </x:c>
      <x:c r="C146" s="21" t="str">
        <x:f>IF(141&gt;C$4,"",INDEX(Tareas!$A$6:$A$205,MATCH(C$5&amp;"_"&amp;141,Tareas!$N$6:$N$205,0),1)&amp;" · "&amp;INDEX(Tareas!$D$6:$D$205,MATCH(C$5&amp;"_"&amp;141,Tareas!$N$6:$N$205,0),1)&amp;CHAR(10)&amp;INDEX(Tareas!$C$6:$C$205,MATCH(C$5&amp;"_"&amp;141,Tareas!$N$6:$N$205,0),1)&amp;CHAR(10)&amp;INDEX(Tareas!$E$6:$E$205,MATCH(C$5&amp;"_"&amp;141,Tareas!$N$6:$N$205,0),1)&amp;CHAR(10)&amp;INDEX(Tareas!$O$6:$O$205,MATCH(C$5&amp;"_"&amp;141,Tareas!$N$6:$N$205,0),1))</x:f>
      </x:c>
      <x:c r="D146" s="21" t="str">
        <x:f>IF(141&gt;D$4,"",INDEX(Tareas!$A$6:$A$205,MATCH(D$5&amp;"_"&amp;141,Tareas!$N$6:$N$205,0),1)&amp;" · "&amp;INDEX(Tareas!$D$6:$D$205,MATCH(D$5&amp;"_"&amp;141,Tareas!$N$6:$N$205,0),1)&amp;CHAR(10)&amp;INDEX(Tareas!$C$6:$C$205,MATCH(D$5&amp;"_"&amp;141,Tareas!$N$6:$N$205,0),1)&amp;CHAR(10)&amp;INDEX(Tareas!$E$6:$E$205,MATCH(D$5&amp;"_"&amp;141,Tareas!$N$6:$N$205,0),1)&amp;CHAR(10)&amp;INDEX(Tareas!$O$6:$O$205,MATCH(D$5&amp;"_"&amp;141,Tareas!$N$6:$N$205,0),1))</x:f>
      </x:c>
      <x:c r="E146" s="21" t="str">
        <x:f>IF(141&gt;E$4,"",INDEX(Tareas!$A$6:$A$205,MATCH(E$5&amp;"_"&amp;141,Tareas!$N$6:$N$205,0),1)&amp;" · "&amp;INDEX(Tareas!$D$6:$D$205,MATCH(E$5&amp;"_"&amp;141,Tareas!$N$6:$N$205,0),1)&amp;CHAR(10)&amp;INDEX(Tareas!$C$6:$C$205,MATCH(E$5&amp;"_"&amp;141,Tareas!$N$6:$N$205,0),1)&amp;CHAR(10)&amp;INDEX(Tareas!$E$6:$E$205,MATCH(E$5&amp;"_"&amp;141,Tareas!$N$6:$N$205,0),1)&amp;CHAR(10)&amp;INDEX(Tareas!$O$6:$O$205,MATCH(E$5&amp;"_"&amp;141,Tareas!$N$6:$N$205,0),1))</x:f>
      </x:c>
      <x:c r="F146" s="21" t="str">
        <x:f>IF(141&gt;F$4,"",INDEX(Tareas!$A$6:$A$205,MATCH(F$5&amp;"_"&amp;141,Tareas!$N$6:$N$205,0),1)&amp;" · "&amp;INDEX(Tareas!$D$6:$D$205,MATCH(F$5&amp;"_"&amp;141,Tareas!$N$6:$N$205,0),1)&amp;CHAR(10)&amp;INDEX(Tareas!$C$6:$C$205,MATCH(F$5&amp;"_"&amp;141,Tareas!$N$6:$N$205,0),1)&amp;CHAR(10)&amp;INDEX(Tareas!$E$6:$E$205,MATCH(F$5&amp;"_"&amp;141,Tareas!$N$6:$N$205,0),1)&amp;CHAR(10)&amp;INDEX(Tareas!$O$6:$O$205,MATCH(F$5&amp;"_"&amp;141,Tareas!$N$6:$N$205,0),1))</x:f>
      </x:c>
    </x:row>
    <x:row r="147" ht="76" customHeight="1">
      <x:c r="A147" s="21" t="str">
        <x:f>IF(142&gt;A$4,"",INDEX(Tareas!$A$6:$A$205,MATCH(A$5&amp;"_"&amp;142,Tareas!$N$6:$N$205,0),1)&amp;" · "&amp;INDEX(Tareas!$D$6:$D$205,MATCH(A$5&amp;"_"&amp;142,Tareas!$N$6:$N$205,0),1)&amp;CHAR(10)&amp;INDEX(Tareas!$C$6:$C$205,MATCH(A$5&amp;"_"&amp;142,Tareas!$N$6:$N$205,0),1)&amp;CHAR(10)&amp;INDEX(Tareas!$E$6:$E$205,MATCH(A$5&amp;"_"&amp;142,Tareas!$N$6:$N$205,0),1)&amp;CHAR(10)&amp;INDEX(Tareas!$O$6:$O$205,MATCH(A$5&amp;"_"&amp;142,Tareas!$N$6:$N$205,0),1))</x:f>
      </x:c>
      <x:c r="B147" s="21" t="str">
        <x:f>IF(142&gt;B$4,"",INDEX(Tareas!$A$6:$A$205,MATCH(B$5&amp;"_"&amp;142,Tareas!$N$6:$N$205,0),1)&amp;" · "&amp;INDEX(Tareas!$D$6:$D$205,MATCH(B$5&amp;"_"&amp;142,Tareas!$N$6:$N$205,0),1)&amp;CHAR(10)&amp;INDEX(Tareas!$C$6:$C$205,MATCH(B$5&amp;"_"&amp;142,Tareas!$N$6:$N$205,0),1)&amp;CHAR(10)&amp;INDEX(Tareas!$E$6:$E$205,MATCH(B$5&amp;"_"&amp;142,Tareas!$N$6:$N$205,0),1)&amp;CHAR(10)&amp;INDEX(Tareas!$O$6:$O$205,MATCH(B$5&amp;"_"&amp;142,Tareas!$N$6:$N$205,0),1))</x:f>
      </x:c>
      <x:c r="C147" s="21" t="str">
        <x:f>IF(142&gt;C$4,"",INDEX(Tareas!$A$6:$A$205,MATCH(C$5&amp;"_"&amp;142,Tareas!$N$6:$N$205,0),1)&amp;" · "&amp;INDEX(Tareas!$D$6:$D$205,MATCH(C$5&amp;"_"&amp;142,Tareas!$N$6:$N$205,0),1)&amp;CHAR(10)&amp;INDEX(Tareas!$C$6:$C$205,MATCH(C$5&amp;"_"&amp;142,Tareas!$N$6:$N$205,0),1)&amp;CHAR(10)&amp;INDEX(Tareas!$E$6:$E$205,MATCH(C$5&amp;"_"&amp;142,Tareas!$N$6:$N$205,0),1)&amp;CHAR(10)&amp;INDEX(Tareas!$O$6:$O$205,MATCH(C$5&amp;"_"&amp;142,Tareas!$N$6:$N$205,0),1))</x:f>
      </x:c>
      <x:c r="D147" s="21" t="str">
        <x:f>IF(142&gt;D$4,"",INDEX(Tareas!$A$6:$A$205,MATCH(D$5&amp;"_"&amp;142,Tareas!$N$6:$N$205,0),1)&amp;" · "&amp;INDEX(Tareas!$D$6:$D$205,MATCH(D$5&amp;"_"&amp;142,Tareas!$N$6:$N$205,0),1)&amp;CHAR(10)&amp;INDEX(Tareas!$C$6:$C$205,MATCH(D$5&amp;"_"&amp;142,Tareas!$N$6:$N$205,0),1)&amp;CHAR(10)&amp;INDEX(Tareas!$E$6:$E$205,MATCH(D$5&amp;"_"&amp;142,Tareas!$N$6:$N$205,0),1)&amp;CHAR(10)&amp;INDEX(Tareas!$O$6:$O$205,MATCH(D$5&amp;"_"&amp;142,Tareas!$N$6:$N$205,0),1))</x:f>
      </x:c>
      <x:c r="E147" s="21" t="str">
        <x:f>IF(142&gt;E$4,"",INDEX(Tareas!$A$6:$A$205,MATCH(E$5&amp;"_"&amp;142,Tareas!$N$6:$N$205,0),1)&amp;" · "&amp;INDEX(Tareas!$D$6:$D$205,MATCH(E$5&amp;"_"&amp;142,Tareas!$N$6:$N$205,0),1)&amp;CHAR(10)&amp;INDEX(Tareas!$C$6:$C$205,MATCH(E$5&amp;"_"&amp;142,Tareas!$N$6:$N$205,0),1)&amp;CHAR(10)&amp;INDEX(Tareas!$E$6:$E$205,MATCH(E$5&amp;"_"&amp;142,Tareas!$N$6:$N$205,0),1)&amp;CHAR(10)&amp;INDEX(Tareas!$O$6:$O$205,MATCH(E$5&amp;"_"&amp;142,Tareas!$N$6:$N$205,0),1))</x:f>
      </x:c>
      <x:c r="F147" s="21" t="str">
        <x:f>IF(142&gt;F$4,"",INDEX(Tareas!$A$6:$A$205,MATCH(F$5&amp;"_"&amp;142,Tareas!$N$6:$N$205,0),1)&amp;" · "&amp;INDEX(Tareas!$D$6:$D$205,MATCH(F$5&amp;"_"&amp;142,Tareas!$N$6:$N$205,0),1)&amp;CHAR(10)&amp;INDEX(Tareas!$C$6:$C$205,MATCH(F$5&amp;"_"&amp;142,Tareas!$N$6:$N$205,0),1)&amp;CHAR(10)&amp;INDEX(Tareas!$E$6:$E$205,MATCH(F$5&amp;"_"&amp;142,Tareas!$N$6:$N$205,0),1)&amp;CHAR(10)&amp;INDEX(Tareas!$O$6:$O$205,MATCH(F$5&amp;"_"&amp;142,Tareas!$N$6:$N$205,0),1))</x:f>
      </x:c>
    </x:row>
    <x:row r="148" ht="76" customHeight="1">
      <x:c r="A148" s="21" t="str">
        <x:f>IF(143&gt;A$4,"",INDEX(Tareas!$A$6:$A$205,MATCH(A$5&amp;"_"&amp;143,Tareas!$N$6:$N$205,0),1)&amp;" · "&amp;INDEX(Tareas!$D$6:$D$205,MATCH(A$5&amp;"_"&amp;143,Tareas!$N$6:$N$205,0),1)&amp;CHAR(10)&amp;INDEX(Tareas!$C$6:$C$205,MATCH(A$5&amp;"_"&amp;143,Tareas!$N$6:$N$205,0),1)&amp;CHAR(10)&amp;INDEX(Tareas!$E$6:$E$205,MATCH(A$5&amp;"_"&amp;143,Tareas!$N$6:$N$205,0),1)&amp;CHAR(10)&amp;INDEX(Tareas!$O$6:$O$205,MATCH(A$5&amp;"_"&amp;143,Tareas!$N$6:$N$205,0),1))</x:f>
      </x:c>
      <x:c r="B148" s="21" t="str">
        <x:f>IF(143&gt;B$4,"",INDEX(Tareas!$A$6:$A$205,MATCH(B$5&amp;"_"&amp;143,Tareas!$N$6:$N$205,0),1)&amp;" · "&amp;INDEX(Tareas!$D$6:$D$205,MATCH(B$5&amp;"_"&amp;143,Tareas!$N$6:$N$205,0),1)&amp;CHAR(10)&amp;INDEX(Tareas!$C$6:$C$205,MATCH(B$5&amp;"_"&amp;143,Tareas!$N$6:$N$205,0),1)&amp;CHAR(10)&amp;INDEX(Tareas!$E$6:$E$205,MATCH(B$5&amp;"_"&amp;143,Tareas!$N$6:$N$205,0),1)&amp;CHAR(10)&amp;INDEX(Tareas!$O$6:$O$205,MATCH(B$5&amp;"_"&amp;143,Tareas!$N$6:$N$205,0),1))</x:f>
      </x:c>
      <x:c r="C148" s="21" t="str">
        <x:f>IF(143&gt;C$4,"",INDEX(Tareas!$A$6:$A$205,MATCH(C$5&amp;"_"&amp;143,Tareas!$N$6:$N$205,0),1)&amp;" · "&amp;INDEX(Tareas!$D$6:$D$205,MATCH(C$5&amp;"_"&amp;143,Tareas!$N$6:$N$205,0),1)&amp;CHAR(10)&amp;INDEX(Tareas!$C$6:$C$205,MATCH(C$5&amp;"_"&amp;143,Tareas!$N$6:$N$205,0),1)&amp;CHAR(10)&amp;INDEX(Tareas!$E$6:$E$205,MATCH(C$5&amp;"_"&amp;143,Tareas!$N$6:$N$205,0),1)&amp;CHAR(10)&amp;INDEX(Tareas!$O$6:$O$205,MATCH(C$5&amp;"_"&amp;143,Tareas!$N$6:$N$205,0),1))</x:f>
      </x:c>
      <x:c r="D148" s="21" t="str">
        <x:f>IF(143&gt;D$4,"",INDEX(Tareas!$A$6:$A$205,MATCH(D$5&amp;"_"&amp;143,Tareas!$N$6:$N$205,0),1)&amp;" · "&amp;INDEX(Tareas!$D$6:$D$205,MATCH(D$5&amp;"_"&amp;143,Tareas!$N$6:$N$205,0),1)&amp;CHAR(10)&amp;INDEX(Tareas!$C$6:$C$205,MATCH(D$5&amp;"_"&amp;143,Tareas!$N$6:$N$205,0),1)&amp;CHAR(10)&amp;INDEX(Tareas!$E$6:$E$205,MATCH(D$5&amp;"_"&amp;143,Tareas!$N$6:$N$205,0),1)&amp;CHAR(10)&amp;INDEX(Tareas!$O$6:$O$205,MATCH(D$5&amp;"_"&amp;143,Tareas!$N$6:$N$205,0),1))</x:f>
      </x:c>
      <x:c r="E148" s="21" t="str">
        <x:f>IF(143&gt;E$4,"",INDEX(Tareas!$A$6:$A$205,MATCH(E$5&amp;"_"&amp;143,Tareas!$N$6:$N$205,0),1)&amp;" · "&amp;INDEX(Tareas!$D$6:$D$205,MATCH(E$5&amp;"_"&amp;143,Tareas!$N$6:$N$205,0),1)&amp;CHAR(10)&amp;INDEX(Tareas!$C$6:$C$205,MATCH(E$5&amp;"_"&amp;143,Tareas!$N$6:$N$205,0),1)&amp;CHAR(10)&amp;INDEX(Tareas!$E$6:$E$205,MATCH(E$5&amp;"_"&amp;143,Tareas!$N$6:$N$205,0),1)&amp;CHAR(10)&amp;INDEX(Tareas!$O$6:$O$205,MATCH(E$5&amp;"_"&amp;143,Tareas!$N$6:$N$205,0),1))</x:f>
      </x:c>
      <x:c r="F148" s="21" t="str">
        <x:f>IF(143&gt;F$4,"",INDEX(Tareas!$A$6:$A$205,MATCH(F$5&amp;"_"&amp;143,Tareas!$N$6:$N$205,0),1)&amp;" · "&amp;INDEX(Tareas!$D$6:$D$205,MATCH(F$5&amp;"_"&amp;143,Tareas!$N$6:$N$205,0),1)&amp;CHAR(10)&amp;INDEX(Tareas!$C$6:$C$205,MATCH(F$5&amp;"_"&amp;143,Tareas!$N$6:$N$205,0),1)&amp;CHAR(10)&amp;INDEX(Tareas!$E$6:$E$205,MATCH(F$5&amp;"_"&amp;143,Tareas!$N$6:$N$205,0),1)&amp;CHAR(10)&amp;INDEX(Tareas!$O$6:$O$205,MATCH(F$5&amp;"_"&amp;143,Tareas!$N$6:$N$205,0),1))</x:f>
      </x:c>
    </x:row>
    <x:row r="149" ht="76" customHeight="1">
      <x:c r="A149" s="21" t="str">
        <x:f>IF(144&gt;A$4,"",INDEX(Tareas!$A$6:$A$205,MATCH(A$5&amp;"_"&amp;144,Tareas!$N$6:$N$205,0),1)&amp;" · "&amp;INDEX(Tareas!$D$6:$D$205,MATCH(A$5&amp;"_"&amp;144,Tareas!$N$6:$N$205,0),1)&amp;CHAR(10)&amp;INDEX(Tareas!$C$6:$C$205,MATCH(A$5&amp;"_"&amp;144,Tareas!$N$6:$N$205,0),1)&amp;CHAR(10)&amp;INDEX(Tareas!$E$6:$E$205,MATCH(A$5&amp;"_"&amp;144,Tareas!$N$6:$N$205,0),1)&amp;CHAR(10)&amp;INDEX(Tareas!$O$6:$O$205,MATCH(A$5&amp;"_"&amp;144,Tareas!$N$6:$N$205,0),1))</x:f>
      </x:c>
      <x:c r="B149" s="21" t="str">
        <x:f>IF(144&gt;B$4,"",INDEX(Tareas!$A$6:$A$205,MATCH(B$5&amp;"_"&amp;144,Tareas!$N$6:$N$205,0),1)&amp;" · "&amp;INDEX(Tareas!$D$6:$D$205,MATCH(B$5&amp;"_"&amp;144,Tareas!$N$6:$N$205,0),1)&amp;CHAR(10)&amp;INDEX(Tareas!$C$6:$C$205,MATCH(B$5&amp;"_"&amp;144,Tareas!$N$6:$N$205,0),1)&amp;CHAR(10)&amp;INDEX(Tareas!$E$6:$E$205,MATCH(B$5&amp;"_"&amp;144,Tareas!$N$6:$N$205,0),1)&amp;CHAR(10)&amp;INDEX(Tareas!$O$6:$O$205,MATCH(B$5&amp;"_"&amp;144,Tareas!$N$6:$N$205,0),1))</x:f>
      </x:c>
      <x:c r="C149" s="21" t="str">
        <x:f>IF(144&gt;C$4,"",INDEX(Tareas!$A$6:$A$205,MATCH(C$5&amp;"_"&amp;144,Tareas!$N$6:$N$205,0),1)&amp;" · "&amp;INDEX(Tareas!$D$6:$D$205,MATCH(C$5&amp;"_"&amp;144,Tareas!$N$6:$N$205,0),1)&amp;CHAR(10)&amp;INDEX(Tareas!$C$6:$C$205,MATCH(C$5&amp;"_"&amp;144,Tareas!$N$6:$N$205,0),1)&amp;CHAR(10)&amp;INDEX(Tareas!$E$6:$E$205,MATCH(C$5&amp;"_"&amp;144,Tareas!$N$6:$N$205,0),1)&amp;CHAR(10)&amp;INDEX(Tareas!$O$6:$O$205,MATCH(C$5&amp;"_"&amp;144,Tareas!$N$6:$N$205,0),1))</x:f>
      </x:c>
      <x:c r="D149" s="21" t="str">
        <x:f>IF(144&gt;D$4,"",INDEX(Tareas!$A$6:$A$205,MATCH(D$5&amp;"_"&amp;144,Tareas!$N$6:$N$205,0),1)&amp;" · "&amp;INDEX(Tareas!$D$6:$D$205,MATCH(D$5&amp;"_"&amp;144,Tareas!$N$6:$N$205,0),1)&amp;CHAR(10)&amp;INDEX(Tareas!$C$6:$C$205,MATCH(D$5&amp;"_"&amp;144,Tareas!$N$6:$N$205,0),1)&amp;CHAR(10)&amp;INDEX(Tareas!$E$6:$E$205,MATCH(D$5&amp;"_"&amp;144,Tareas!$N$6:$N$205,0),1)&amp;CHAR(10)&amp;INDEX(Tareas!$O$6:$O$205,MATCH(D$5&amp;"_"&amp;144,Tareas!$N$6:$N$205,0),1))</x:f>
      </x:c>
      <x:c r="E149" s="21" t="str">
        <x:f>IF(144&gt;E$4,"",INDEX(Tareas!$A$6:$A$205,MATCH(E$5&amp;"_"&amp;144,Tareas!$N$6:$N$205,0),1)&amp;" · "&amp;INDEX(Tareas!$D$6:$D$205,MATCH(E$5&amp;"_"&amp;144,Tareas!$N$6:$N$205,0),1)&amp;CHAR(10)&amp;INDEX(Tareas!$C$6:$C$205,MATCH(E$5&amp;"_"&amp;144,Tareas!$N$6:$N$205,0),1)&amp;CHAR(10)&amp;INDEX(Tareas!$E$6:$E$205,MATCH(E$5&amp;"_"&amp;144,Tareas!$N$6:$N$205,0),1)&amp;CHAR(10)&amp;INDEX(Tareas!$O$6:$O$205,MATCH(E$5&amp;"_"&amp;144,Tareas!$N$6:$N$205,0),1))</x:f>
      </x:c>
      <x:c r="F149" s="21" t="str">
        <x:f>IF(144&gt;F$4,"",INDEX(Tareas!$A$6:$A$205,MATCH(F$5&amp;"_"&amp;144,Tareas!$N$6:$N$205,0),1)&amp;" · "&amp;INDEX(Tareas!$D$6:$D$205,MATCH(F$5&amp;"_"&amp;144,Tareas!$N$6:$N$205,0),1)&amp;CHAR(10)&amp;INDEX(Tareas!$C$6:$C$205,MATCH(F$5&amp;"_"&amp;144,Tareas!$N$6:$N$205,0),1)&amp;CHAR(10)&amp;INDEX(Tareas!$E$6:$E$205,MATCH(F$5&amp;"_"&amp;144,Tareas!$N$6:$N$205,0),1)&amp;CHAR(10)&amp;INDEX(Tareas!$O$6:$O$205,MATCH(F$5&amp;"_"&amp;144,Tareas!$N$6:$N$205,0),1))</x:f>
      </x:c>
    </x:row>
    <x:row r="150" ht="76" customHeight="1">
      <x:c r="A150" s="21" t="str">
        <x:f>IF(145&gt;A$4,"",INDEX(Tareas!$A$6:$A$205,MATCH(A$5&amp;"_"&amp;145,Tareas!$N$6:$N$205,0),1)&amp;" · "&amp;INDEX(Tareas!$D$6:$D$205,MATCH(A$5&amp;"_"&amp;145,Tareas!$N$6:$N$205,0),1)&amp;CHAR(10)&amp;INDEX(Tareas!$C$6:$C$205,MATCH(A$5&amp;"_"&amp;145,Tareas!$N$6:$N$205,0),1)&amp;CHAR(10)&amp;INDEX(Tareas!$E$6:$E$205,MATCH(A$5&amp;"_"&amp;145,Tareas!$N$6:$N$205,0),1)&amp;CHAR(10)&amp;INDEX(Tareas!$O$6:$O$205,MATCH(A$5&amp;"_"&amp;145,Tareas!$N$6:$N$205,0),1))</x:f>
      </x:c>
      <x:c r="B150" s="21" t="str">
        <x:f>IF(145&gt;B$4,"",INDEX(Tareas!$A$6:$A$205,MATCH(B$5&amp;"_"&amp;145,Tareas!$N$6:$N$205,0),1)&amp;" · "&amp;INDEX(Tareas!$D$6:$D$205,MATCH(B$5&amp;"_"&amp;145,Tareas!$N$6:$N$205,0),1)&amp;CHAR(10)&amp;INDEX(Tareas!$C$6:$C$205,MATCH(B$5&amp;"_"&amp;145,Tareas!$N$6:$N$205,0),1)&amp;CHAR(10)&amp;INDEX(Tareas!$E$6:$E$205,MATCH(B$5&amp;"_"&amp;145,Tareas!$N$6:$N$205,0),1)&amp;CHAR(10)&amp;INDEX(Tareas!$O$6:$O$205,MATCH(B$5&amp;"_"&amp;145,Tareas!$N$6:$N$205,0),1))</x:f>
      </x:c>
      <x:c r="C150" s="21" t="str">
        <x:f>IF(145&gt;C$4,"",INDEX(Tareas!$A$6:$A$205,MATCH(C$5&amp;"_"&amp;145,Tareas!$N$6:$N$205,0),1)&amp;" · "&amp;INDEX(Tareas!$D$6:$D$205,MATCH(C$5&amp;"_"&amp;145,Tareas!$N$6:$N$205,0),1)&amp;CHAR(10)&amp;INDEX(Tareas!$C$6:$C$205,MATCH(C$5&amp;"_"&amp;145,Tareas!$N$6:$N$205,0),1)&amp;CHAR(10)&amp;INDEX(Tareas!$E$6:$E$205,MATCH(C$5&amp;"_"&amp;145,Tareas!$N$6:$N$205,0),1)&amp;CHAR(10)&amp;INDEX(Tareas!$O$6:$O$205,MATCH(C$5&amp;"_"&amp;145,Tareas!$N$6:$N$205,0),1))</x:f>
      </x:c>
      <x:c r="D150" s="21" t="str">
        <x:f>IF(145&gt;D$4,"",INDEX(Tareas!$A$6:$A$205,MATCH(D$5&amp;"_"&amp;145,Tareas!$N$6:$N$205,0),1)&amp;" · "&amp;INDEX(Tareas!$D$6:$D$205,MATCH(D$5&amp;"_"&amp;145,Tareas!$N$6:$N$205,0),1)&amp;CHAR(10)&amp;INDEX(Tareas!$C$6:$C$205,MATCH(D$5&amp;"_"&amp;145,Tareas!$N$6:$N$205,0),1)&amp;CHAR(10)&amp;INDEX(Tareas!$E$6:$E$205,MATCH(D$5&amp;"_"&amp;145,Tareas!$N$6:$N$205,0),1)&amp;CHAR(10)&amp;INDEX(Tareas!$O$6:$O$205,MATCH(D$5&amp;"_"&amp;145,Tareas!$N$6:$N$205,0),1))</x:f>
      </x:c>
      <x:c r="E150" s="21" t="str">
        <x:f>IF(145&gt;E$4,"",INDEX(Tareas!$A$6:$A$205,MATCH(E$5&amp;"_"&amp;145,Tareas!$N$6:$N$205,0),1)&amp;" · "&amp;INDEX(Tareas!$D$6:$D$205,MATCH(E$5&amp;"_"&amp;145,Tareas!$N$6:$N$205,0),1)&amp;CHAR(10)&amp;INDEX(Tareas!$C$6:$C$205,MATCH(E$5&amp;"_"&amp;145,Tareas!$N$6:$N$205,0),1)&amp;CHAR(10)&amp;INDEX(Tareas!$E$6:$E$205,MATCH(E$5&amp;"_"&amp;145,Tareas!$N$6:$N$205,0),1)&amp;CHAR(10)&amp;INDEX(Tareas!$O$6:$O$205,MATCH(E$5&amp;"_"&amp;145,Tareas!$N$6:$N$205,0),1))</x:f>
      </x:c>
      <x:c r="F150" s="21" t="str">
        <x:f>IF(145&gt;F$4,"",INDEX(Tareas!$A$6:$A$205,MATCH(F$5&amp;"_"&amp;145,Tareas!$N$6:$N$205,0),1)&amp;" · "&amp;INDEX(Tareas!$D$6:$D$205,MATCH(F$5&amp;"_"&amp;145,Tareas!$N$6:$N$205,0),1)&amp;CHAR(10)&amp;INDEX(Tareas!$C$6:$C$205,MATCH(F$5&amp;"_"&amp;145,Tareas!$N$6:$N$205,0),1)&amp;CHAR(10)&amp;INDEX(Tareas!$E$6:$E$205,MATCH(F$5&amp;"_"&amp;145,Tareas!$N$6:$N$205,0),1)&amp;CHAR(10)&amp;INDEX(Tareas!$O$6:$O$205,MATCH(F$5&amp;"_"&amp;145,Tareas!$N$6:$N$205,0),1))</x:f>
      </x:c>
    </x:row>
    <x:row r="151" ht="76" customHeight="1">
      <x:c r="A151" s="21" t="str">
        <x:f>IF(146&gt;A$4,"",INDEX(Tareas!$A$6:$A$205,MATCH(A$5&amp;"_"&amp;146,Tareas!$N$6:$N$205,0),1)&amp;" · "&amp;INDEX(Tareas!$D$6:$D$205,MATCH(A$5&amp;"_"&amp;146,Tareas!$N$6:$N$205,0),1)&amp;CHAR(10)&amp;INDEX(Tareas!$C$6:$C$205,MATCH(A$5&amp;"_"&amp;146,Tareas!$N$6:$N$205,0),1)&amp;CHAR(10)&amp;INDEX(Tareas!$E$6:$E$205,MATCH(A$5&amp;"_"&amp;146,Tareas!$N$6:$N$205,0),1)&amp;CHAR(10)&amp;INDEX(Tareas!$O$6:$O$205,MATCH(A$5&amp;"_"&amp;146,Tareas!$N$6:$N$205,0),1))</x:f>
      </x:c>
      <x:c r="B151" s="21" t="str">
        <x:f>IF(146&gt;B$4,"",INDEX(Tareas!$A$6:$A$205,MATCH(B$5&amp;"_"&amp;146,Tareas!$N$6:$N$205,0),1)&amp;" · "&amp;INDEX(Tareas!$D$6:$D$205,MATCH(B$5&amp;"_"&amp;146,Tareas!$N$6:$N$205,0),1)&amp;CHAR(10)&amp;INDEX(Tareas!$C$6:$C$205,MATCH(B$5&amp;"_"&amp;146,Tareas!$N$6:$N$205,0),1)&amp;CHAR(10)&amp;INDEX(Tareas!$E$6:$E$205,MATCH(B$5&amp;"_"&amp;146,Tareas!$N$6:$N$205,0),1)&amp;CHAR(10)&amp;INDEX(Tareas!$O$6:$O$205,MATCH(B$5&amp;"_"&amp;146,Tareas!$N$6:$N$205,0),1))</x:f>
      </x:c>
      <x:c r="C151" s="21" t="str">
        <x:f>IF(146&gt;C$4,"",INDEX(Tareas!$A$6:$A$205,MATCH(C$5&amp;"_"&amp;146,Tareas!$N$6:$N$205,0),1)&amp;" · "&amp;INDEX(Tareas!$D$6:$D$205,MATCH(C$5&amp;"_"&amp;146,Tareas!$N$6:$N$205,0),1)&amp;CHAR(10)&amp;INDEX(Tareas!$C$6:$C$205,MATCH(C$5&amp;"_"&amp;146,Tareas!$N$6:$N$205,0),1)&amp;CHAR(10)&amp;INDEX(Tareas!$E$6:$E$205,MATCH(C$5&amp;"_"&amp;146,Tareas!$N$6:$N$205,0),1)&amp;CHAR(10)&amp;INDEX(Tareas!$O$6:$O$205,MATCH(C$5&amp;"_"&amp;146,Tareas!$N$6:$N$205,0),1))</x:f>
      </x:c>
      <x:c r="D151" s="21" t="str">
        <x:f>IF(146&gt;D$4,"",INDEX(Tareas!$A$6:$A$205,MATCH(D$5&amp;"_"&amp;146,Tareas!$N$6:$N$205,0),1)&amp;" · "&amp;INDEX(Tareas!$D$6:$D$205,MATCH(D$5&amp;"_"&amp;146,Tareas!$N$6:$N$205,0),1)&amp;CHAR(10)&amp;INDEX(Tareas!$C$6:$C$205,MATCH(D$5&amp;"_"&amp;146,Tareas!$N$6:$N$205,0),1)&amp;CHAR(10)&amp;INDEX(Tareas!$E$6:$E$205,MATCH(D$5&amp;"_"&amp;146,Tareas!$N$6:$N$205,0),1)&amp;CHAR(10)&amp;INDEX(Tareas!$O$6:$O$205,MATCH(D$5&amp;"_"&amp;146,Tareas!$N$6:$N$205,0),1))</x:f>
      </x:c>
      <x:c r="E151" s="21" t="str">
        <x:f>IF(146&gt;E$4,"",INDEX(Tareas!$A$6:$A$205,MATCH(E$5&amp;"_"&amp;146,Tareas!$N$6:$N$205,0),1)&amp;" · "&amp;INDEX(Tareas!$D$6:$D$205,MATCH(E$5&amp;"_"&amp;146,Tareas!$N$6:$N$205,0),1)&amp;CHAR(10)&amp;INDEX(Tareas!$C$6:$C$205,MATCH(E$5&amp;"_"&amp;146,Tareas!$N$6:$N$205,0),1)&amp;CHAR(10)&amp;INDEX(Tareas!$E$6:$E$205,MATCH(E$5&amp;"_"&amp;146,Tareas!$N$6:$N$205,0),1)&amp;CHAR(10)&amp;INDEX(Tareas!$O$6:$O$205,MATCH(E$5&amp;"_"&amp;146,Tareas!$N$6:$N$205,0),1))</x:f>
      </x:c>
      <x:c r="F151" s="21" t="str">
        <x:f>IF(146&gt;F$4,"",INDEX(Tareas!$A$6:$A$205,MATCH(F$5&amp;"_"&amp;146,Tareas!$N$6:$N$205,0),1)&amp;" · "&amp;INDEX(Tareas!$D$6:$D$205,MATCH(F$5&amp;"_"&amp;146,Tareas!$N$6:$N$205,0),1)&amp;CHAR(10)&amp;INDEX(Tareas!$C$6:$C$205,MATCH(F$5&amp;"_"&amp;146,Tareas!$N$6:$N$205,0),1)&amp;CHAR(10)&amp;INDEX(Tareas!$E$6:$E$205,MATCH(F$5&amp;"_"&amp;146,Tareas!$N$6:$N$205,0),1)&amp;CHAR(10)&amp;INDEX(Tareas!$O$6:$O$205,MATCH(F$5&amp;"_"&amp;146,Tareas!$N$6:$N$205,0),1))</x:f>
      </x:c>
    </x:row>
    <x:row r="152" ht="76" customHeight="1">
      <x:c r="A152" s="21" t="str">
        <x:f>IF(147&gt;A$4,"",INDEX(Tareas!$A$6:$A$205,MATCH(A$5&amp;"_"&amp;147,Tareas!$N$6:$N$205,0),1)&amp;" · "&amp;INDEX(Tareas!$D$6:$D$205,MATCH(A$5&amp;"_"&amp;147,Tareas!$N$6:$N$205,0),1)&amp;CHAR(10)&amp;INDEX(Tareas!$C$6:$C$205,MATCH(A$5&amp;"_"&amp;147,Tareas!$N$6:$N$205,0),1)&amp;CHAR(10)&amp;INDEX(Tareas!$E$6:$E$205,MATCH(A$5&amp;"_"&amp;147,Tareas!$N$6:$N$205,0),1)&amp;CHAR(10)&amp;INDEX(Tareas!$O$6:$O$205,MATCH(A$5&amp;"_"&amp;147,Tareas!$N$6:$N$205,0),1))</x:f>
      </x:c>
      <x:c r="B152" s="21" t="str">
        <x:f>IF(147&gt;B$4,"",INDEX(Tareas!$A$6:$A$205,MATCH(B$5&amp;"_"&amp;147,Tareas!$N$6:$N$205,0),1)&amp;" · "&amp;INDEX(Tareas!$D$6:$D$205,MATCH(B$5&amp;"_"&amp;147,Tareas!$N$6:$N$205,0),1)&amp;CHAR(10)&amp;INDEX(Tareas!$C$6:$C$205,MATCH(B$5&amp;"_"&amp;147,Tareas!$N$6:$N$205,0),1)&amp;CHAR(10)&amp;INDEX(Tareas!$E$6:$E$205,MATCH(B$5&amp;"_"&amp;147,Tareas!$N$6:$N$205,0),1)&amp;CHAR(10)&amp;INDEX(Tareas!$O$6:$O$205,MATCH(B$5&amp;"_"&amp;147,Tareas!$N$6:$N$205,0),1))</x:f>
      </x:c>
      <x:c r="C152" s="21" t="str">
        <x:f>IF(147&gt;C$4,"",INDEX(Tareas!$A$6:$A$205,MATCH(C$5&amp;"_"&amp;147,Tareas!$N$6:$N$205,0),1)&amp;" · "&amp;INDEX(Tareas!$D$6:$D$205,MATCH(C$5&amp;"_"&amp;147,Tareas!$N$6:$N$205,0),1)&amp;CHAR(10)&amp;INDEX(Tareas!$C$6:$C$205,MATCH(C$5&amp;"_"&amp;147,Tareas!$N$6:$N$205,0),1)&amp;CHAR(10)&amp;INDEX(Tareas!$E$6:$E$205,MATCH(C$5&amp;"_"&amp;147,Tareas!$N$6:$N$205,0),1)&amp;CHAR(10)&amp;INDEX(Tareas!$O$6:$O$205,MATCH(C$5&amp;"_"&amp;147,Tareas!$N$6:$N$205,0),1))</x:f>
      </x:c>
      <x:c r="D152" s="21" t="str">
        <x:f>IF(147&gt;D$4,"",INDEX(Tareas!$A$6:$A$205,MATCH(D$5&amp;"_"&amp;147,Tareas!$N$6:$N$205,0),1)&amp;" · "&amp;INDEX(Tareas!$D$6:$D$205,MATCH(D$5&amp;"_"&amp;147,Tareas!$N$6:$N$205,0),1)&amp;CHAR(10)&amp;INDEX(Tareas!$C$6:$C$205,MATCH(D$5&amp;"_"&amp;147,Tareas!$N$6:$N$205,0),1)&amp;CHAR(10)&amp;INDEX(Tareas!$E$6:$E$205,MATCH(D$5&amp;"_"&amp;147,Tareas!$N$6:$N$205,0),1)&amp;CHAR(10)&amp;INDEX(Tareas!$O$6:$O$205,MATCH(D$5&amp;"_"&amp;147,Tareas!$N$6:$N$205,0),1))</x:f>
      </x:c>
      <x:c r="E152" s="21" t="str">
        <x:f>IF(147&gt;E$4,"",INDEX(Tareas!$A$6:$A$205,MATCH(E$5&amp;"_"&amp;147,Tareas!$N$6:$N$205,0),1)&amp;" · "&amp;INDEX(Tareas!$D$6:$D$205,MATCH(E$5&amp;"_"&amp;147,Tareas!$N$6:$N$205,0),1)&amp;CHAR(10)&amp;INDEX(Tareas!$C$6:$C$205,MATCH(E$5&amp;"_"&amp;147,Tareas!$N$6:$N$205,0),1)&amp;CHAR(10)&amp;INDEX(Tareas!$E$6:$E$205,MATCH(E$5&amp;"_"&amp;147,Tareas!$N$6:$N$205,0),1)&amp;CHAR(10)&amp;INDEX(Tareas!$O$6:$O$205,MATCH(E$5&amp;"_"&amp;147,Tareas!$N$6:$N$205,0),1))</x:f>
      </x:c>
      <x:c r="F152" s="21" t="str">
        <x:f>IF(147&gt;F$4,"",INDEX(Tareas!$A$6:$A$205,MATCH(F$5&amp;"_"&amp;147,Tareas!$N$6:$N$205,0),1)&amp;" · "&amp;INDEX(Tareas!$D$6:$D$205,MATCH(F$5&amp;"_"&amp;147,Tareas!$N$6:$N$205,0),1)&amp;CHAR(10)&amp;INDEX(Tareas!$C$6:$C$205,MATCH(F$5&amp;"_"&amp;147,Tareas!$N$6:$N$205,0),1)&amp;CHAR(10)&amp;INDEX(Tareas!$E$6:$E$205,MATCH(F$5&amp;"_"&amp;147,Tareas!$N$6:$N$205,0),1)&amp;CHAR(10)&amp;INDEX(Tareas!$O$6:$O$205,MATCH(F$5&amp;"_"&amp;147,Tareas!$N$6:$N$205,0),1))</x:f>
      </x:c>
    </x:row>
    <x:row r="153" ht="76" customHeight="1">
      <x:c r="A153" s="21" t="str">
        <x:f>IF(148&gt;A$4,"",INDEX(Tareas!$A$6:$A$205,MATCH(A$5&amp;"_"&amp;148,Tareas!$N$6:$N$205,0),1)&amp;" · "&amp;INDEX(Tareas!$D$6:$D$205,MATCH(A$5&amp;"_"&amp;148,Tareas!$N$6:$N$205,0),1)&amp;CHAR(10)&amp;INDEX(Tareas!$C$6:$C$205,MATCH(A$5&amp;"_"&amp;148,Tareas!$N$6:$N$205,0),1)&amp;CHAR(10)&amp;INDEX(Tareas!$E$6:$E$205,MATCH(A$5&amp;"_"&amp;148,Tareas!$N$6:$N$205,0),1)&amp;CHAR(10)&amp;INDEX(Tareas!$O$6:$O$205,MATCH(A$5&amp;"_"&amp;148,Tareas!$N$6:$N$205,0),1))</x:f>
      </x:c>
      <x:c r="B153" s="21" t="str">
        <x:f>IF(148&gt;B$4,"",INDEX(Tareas!$A$6:$A$205,MATCH(B$5&amp;"_"&amp;148,Tareas!$N$6:$N$205,0),1)&amp;" · "&amp;INDEX(Tareas!$D$6:$D$205,MATCH(B$5&amp;"_"&amp;148,Tareas!$N$6:$N$205,0),1)&amp;CHAR(10)&amp;INDEX(Tareas!$C$6:$C$205,MATCH(B$5&amp;"_"&amp;148,Tareas!$N$6:$N$205,0),1)&amp;CHAR(10)&amp;INDEX(Tareas!$E$6:$E$205,MATCH(B$5&amp;"_"&amp;148,Tareas!$N$6:$N$205,0),1)&amp;CHAR(10)&amp;INDEX(Tareas!$O$6:$O$205,MATCH(B$5&amp;"_"&amp;148,Tareas!$N$6:$N$205,0),1))</x:f>
      </x:c>
      <x:c r="C153" s="21" t="str">
        <x:f>IF(148&gt;C$4,"",INDEX(Tareas!$A$6:$A$205,MATCH(C$5&amp;"_"&amp;148,Tareas!$N$6:$N$205,0),1)&amp;" · "&amp;INDEX(Tareas!$D$6:$D$205,MATCH(C$5&amp;"_"&amp;148,Tareas!$N$6:$N$205,0),1)&amp;CHAR(10)&amp;INDEX(Tareas!$C$6:$C$205,MATCH(C$5&amp;"_"&amp;148,Tareas!$N$6:$N$205,0),1)&amp;CHAR(10)&amp;INDEX(Tareas!$E$6:$E$205,MATCH(C$5&amp;"_"&amp;148,Tareas!$N$6:$N$205,0),1)&amp;CHAR(10)&amp;INDEX(Tareas!$O$6:$O$205,MATCH(C$5&amp;"_"&amp;148,Tareas!$N$6:$N$205,0),1))</x:f>
      </x:c>
      <x:c r="D153" s="21" t="str">
        <x:f>IF(148&gt;D$4,"",INDEX(Tareas!$A$6:$A$205,MATCH(D$5&amp;"_"&amp;148,Tareas!$N$6:$N$205,0),1)&amp;" · "&amp;INDEX(Tareas!$D$6:$D$205,MATCH(D$5&amp;"_"&amp;148,Tareas!$N$6:$N$205,0),1)&amp;CHAR(10)&amp;INDEX(Tareas!$C$6:$C$205,MATCH(D$5&amp;"_"&amp;148,Tareas!$N$6:$N$205,0),1)&amp;CHAR(10)&amp;INDEX(Tareas!$E$6:$E$205,MATCH(D$5&amp;"_"&amp;148,Tareas!$N$6:$N$205,0),1)&amp;CHAR(10)&amp;INDEX(Tareas!$O$6:$O$205,MATCH(D$5&amp;"_"&amp;148,Tareas!$N$6:$N$205,0),1))</x:f>
      </x:c>
      <x:c r="E153" s="21" t="str">
        <x:f>IF(148&gt;E$4,"",INDEX(Tareas!$A$6:$A$205,MATCH(E$5&amp;"_"&amp;148,Tareas!$N$6:$N$205,0),1)&amp;" · "&amp;INDEX(Tareas!$D$6:$D$205,MATCH(E$5&amp;"_"&amp;148,Tareas!$N$6:$N$205,0),1)&amp;CHAR(10)&amp;INDEX(Tareas!$C$6:$C$205,MATCH(E$5&amp;"_"&amp;148,Tareas!$N$6:$N$205,0),1)&amp;CHAR(10)&amp;INDEX(Tareas!$E$6:$E$205,MATCH(E$5&amp;"_"&amp;148,Tareas!$N$6:$N$205,0),1)&amp;CHAR(10)&amp;INDEX(Tareas!$O$6:$O$205,MATCH(E$5&amp;"_"&amp;148,Tareas!$N$6:$N$205,0),1))</x:f>
      </x:c>
      <x:c r="F153" s="21" t="str">
        <x:f>IF(148&gt;F$4,"",INDEX(Tareas!$A$6:$A$205,MATCH(F$5&amp;"_"&amp;148,Tareas!$N$6:$N$205,0),1)&amp;" · "&amp;INDEX(Tareas!$D$6:$D$205,MATCH(F$5&amp;"_"&amp;148,Tareas!$N$6:$N$205,0),1)&amp;CHAR(10)&amp;INDEX(Tareas!$C$6:$C$205,MATCH(F$5&amp;"_"&amp;148,Tareas!$N$6:$N$205,0),1)&amp;CHAR(10)&amp;INDEX(Tareas!$E$6:$E$205,MATCH(F$5&amp;"_"&amp;148,Tareas!$N$6:$N$205,0),1)&amp;CHAR(10)&amp;INDEX(Tareas!$O$6:$O$205,MATCH(F$5&amp;"_"&amp;148,Tareas!$N$6:$N$205,0),1))</x:f>
      </x:c>
    </x:row>
    <x:row r="154" ht="76" customHeight="1">
      <x:c r="A154" s="21" t="str">
        <x:f>IF(149&gt;A$4,"",INDEX(Tareas!$A$6:$A$205,MATCH(A$5&amp;"_"&amp;149,Tareas!$N$6:$N$205,0),1)&amp;" · "&amp;INDEX(Tareas!$D$6:$D$205,MATCH(A$5&amp;"_"&amp;149,Tareas!$N$6:$N$205,0),1)&amp;CHAR(10)&amp;INDEX(Tareas!$C$6:$C$205,MATCH(A$5&amp;"_"&amp;149,Tareas!$N$6:$N$205,0),1)&amp;CHAR(10)&amp;INDEX(Tareas!$E$6:$E$205,MATCH(A$5&amp;"_"&amp;149,Tareas!$N$6:$N$205,0),1)&amp;CHAR(10)&amp;INDEX(Tareas!$O$6:$O$205,MATCH(A$5&amp;"_"&amp;149,Tareas!$N$6:$N$205,0),1))</x:f>
      </x:c>
      <x:c r="B154" s="21" t="str">
        <x:f>IF(149&gt;B$4,"",INDEX(Tareas!$A$6:$A$205,MATCH(B$5&amp;"_"&amp;149,Tareas!$N$6:$N$205,0),1)&amp;" · "&amp;INDEX(Tareas!$D$6:$D$205,MATCH(B$5&amp;"_"&amp;149,Tareas!$N$6:$N$205,0),1)&amp;CHAR(10)&amp;INDEX(Tareas!$C$6:$C$205,MATCH(B$5&amp;"_"&amp;149,Tareas!$N$6:$N$205,0),1)&amp;CHAR(10)&amp;INDEX(Tareas!$E$6:$E$205,MATCH(B$5&amp;"_"&amp;149,Tareas!$N$6:$N$205,0),1)&amp;CHAR(10)&amp;INDEX(Tareas!$O$6:$O$205,MATCH(B$5&amp;"_"&amp;149,Tareas!$N$6:$N$205,0),1))</x:f>
      </x:c>
      <x:c r="C154" s="21" t="str">
        <x:f>IF(149&gt;C$4,"",INDEX(Tareas!$A$6:$A$205,MATCH(C$5&amp;"_"&amp;149,Tareas!$N$6:$N$205,0),1)&amp;" · "&amp;INDEX(Tareas!$D$6:$D$205,MATCH(C$5&amp;"_"&amp;149,Tareas!$N$6:$N$205,0),1)&amp;CHAR(10)&amp;INDEX(Tareas!$C$6:$C$205,MATCH(C$5&amp;"_"&amp;149,Tareas!$N$6:$N$205,0),1)&amp;CHAR(10)&amp;INDEX(Tareas!$E$6:$E$205,MATCH(C$5&amp;"_"&amp;149,Tareas!$N$6:$N$205,0),1)&amp;CHAR(10)&amp;INDEX(Tareas!$O$6:$O$205,MATCH(C$5&amp;"_"&amp;149,Tareas!$N$6:$N$205,0),1))</x:f>
      </x:c>
      <x:c r="D154" s="21" t="str">
        <x:f>IF(149&gt;D$4,"",INDEX(Tareas!$A$6:$A$205,MATCH(D$5&amp;"_"&amp;149,Tareas!$N$6:$N$205,0),1)&amp;" · "&amp;INDEX(Tareas!$D$6:$D$205,MATCH(D$5&amp;"_"&amp;149,Tareas!$N$6:$N$205,0),1)&amp;CHAR(10)&amp;INDEX(Tareas!$C$6:$C$205,MATCH(D$5&amp;"_"&amp;149,Tareas!$N$6:$N$205,0),1)&amp;CHAR(10)&amp;INDEX(Tareas!$E$6:$E$205,MATCH(D$5&amp;"_"&amp;149,Tareas!$N$6:$N$205,0),1)&amp;CHAR(10)&amp;INDEX(Tareas!$O$6:$O$205,MATCH(D$5&amp;"_"&amp;149,Tareas!$N$6:$N$205,0),1))</x:f>
      </x:c>
      <x:c r="E154" s="21" t="str">
        <x:f>IF(149&gt;E$4,"",INDEX(Tareas!$A$6:$A$205,MATCH(E$5&amp;"_"&amp;149,Tareas!$N$6:$N$205,0),1)&amp;" · "&amp;INDEX(Tareas!$D$6:$D$205,MATCH(E$5&amp;"_"&amp;149,Tareas!$N$6:$N$205,0),1)&amp;CHAR(10)&amp;INDEX(Tareas!$C$6:$C$205,MATCH(E$5&amp;"_"&amp;149,Tareas!$N$6:$N$205,0),1)&amp;CHAR(10)&amp;INDEX(Tareas!$E$6:$E$205,MATCH(E$5&amp;"_"&amp;149,Tareas!$N$6:$N$205,0),1)&amp;CHAR(10)&amp;INDEX(Tareas!$O$6:$O$205,MATCH(E$5&amp;"_"&amp;149,Tareas!$N$6:$N$205,0),1))</x:f>
      </x:c>
      <x:c r="F154" s="21" t="str">
        <x:f>IF(149&gt;F$4,"",INDEX(Tareas!$A$6:$A$205,MATCH(F$5&amp;"_"&amp;149,Tareas!$N$6:$N$205,0),1)&amp;" · "&amp;INDEX(Tareas!$D$6:$D$205,MATCH(F$5&amp;"_"&amp;149,Tareas!$N$6:$N$205,0),1)&amp;CHAR(10)&amp;INDEX(Tareas!$C$6:$C$205,MATCH(F$5&amp;"_"&amp;149,Tareas!$N$6:$N$205,0),1)&amp;CHAR(10)&amp;INDEX(Tareas!$E$6:$E$205,MATCH(F$5&amp;"_"&amp;149,Tareas!$N$6:$N$205,0),1)&amp;CHAR(10)&amp;INDEX(Tareas!$O$6:$O$205,MATCH(F$5&amp;"_"&amp;149,Tareas!$N$6:$N$205,0),1))</x:f>
      </x:c>
    </x:row>
    <x:row r="155" ht="76" customHeight="1">
      <x:c r="A155" s="21" t="str">
        <x:f>IF(150&gt;A$4,"",INDEX(Tareas!$A$6:$A$205,MATCH(A$5&amp;"_"&amp;150,Tareas!$N$6:$N$205,0),1)&amp;" · "&amp;INDEX(Tareas!$D$6:$D$205,MATCH(A$5&amp;"_"&amp;150,Tareas!$N$6:$N$205,0),1)&amp;CHAR(10)&amp;INDEX(Tareas!$C$6:$C$205,MATCH(A$5&amp;"_"&amp;150,Tareas!$N$6:$N$205,0),1)&amp;CHAR(10)&amp;INDEX(Tareas!$E$6:$E$205,MATCH(A$5&amp;"_"&amp;150,Tareas!$N$6:$N$205,0),1)&amp;CHAR(10)&amp;INDEX(Tareas!$O$6:$O$205,MATCH(A$5&amp;"_"&amp;150,Tareas!$N$6:$N$205,0),1))</x:f>
      </x:c>
      <x:c r="B155" s="21" t="str">
        <x:f>IF(150&gt;B$4,"",INDEX(Tareas!$A$6:$A$205,MATCH(B$5&amp;"_"&amp;150,Tareas!$N$6:$N$205,0),1)&amp;" · "&amp;INDEX(Tareas!$D$6:$D$205,MATCH(B$5&amp;"_"&amp;150,Tareas!$N$6:$N$205,0),1)&amp;CHAR(10)&amp;INDEX(Tareas!$C$6:$C$205,MATCH(B$5&amp;"_"&amp;150,Tareas!$N$6:$N$205,0),1)&amp;CHAR(10)&amp;INDEX(Tareas!$E$6:$E$205,MATCH(B$5&amp;"_"&amp;150,Tareas!$N$6:$N$205,0),1)&amp;CHAR(10)&amp;INDEX(Tareas!$O$6:$O$205,MATCH(B$5&amp;"_"&amp;150,Tareas!$N$6:$N$205,0),1))</x:f>
      </x:c>
      <x:c r="C155" s="21" t="str">
        <x:f>IF(150&gt;C$4,"",INDEX(Tareas!$A$6:$A$205,MATCH(C$5&amp;"_"&amp;150,Tareas!$N$6:$N$205,0),1)&amp;" · "&amp;INDEX(Tareas!$D$6:$D$205,MATCH(C$5&amp;"_"&amp;150,Tareas!$N$6:$N$205,0),1)&amp;CHAR(10)&amp;INDEX(Tareas!$C$6:$C$205,MATCH(C$5&amp;"_"&amp;150,Tareas!$N$6:$N$205,0),1)&amp;CHAR(10)&amp;INDEX(Tareas!$E$6:$E$205,MATCH(C$5&amp;"_"&amp;150,Tareas!$N$6:$N$205,0),1)&amp;CHAR(10)&amp;INDEX(Tareas!$O$6:$O$205,MATCH(C$5&amp;"_"&amp;150,Tareas!$N$6:$N$205,0),1))</x:f>
      </x:c>
      <x:c r="D155" s="21" t="str">
        <x:f>IF(150&gt;D$4,"",INDEX(Tareas!$A$6:$A$205,MATCH(D$5&amp;"_"&amp;150,Tareas!$N$6:$N$205,0),1)&amp;" · "&amp;INDEX(Tareas!$D$6:$D$205,MATCH(D$5&amp;"_"&amp;150,Tareas!$N$6:$N$205,0),1)&amp;CHAR(10)&amp;INDEX(Tareas!$C$6:$C$205,MATCH(D$5&amp;"_"&amp;150,Tareas!$N$6:$N$205,0),1)&amp;CHAR(10)&amp;INDEX(Tareas!$E$6:$E$205,MATCH(D$5&amp;"_"&amp;150,Tareas!$N$6:$N$205,0),1)&amp;CHAR(10)&amp;INDEX(Tareas!$O$6:$O$205,MATCH(D$5&amp;"_"&amp;150,Tareas!$N$6:$N$205,0),1))</x:f>
      </x:c>
      <x:c r="E155" s="21" t="str">
        <x:f>IF(150&gt;E$4,"",INDEX(Tareas!$A$6:$A$205,MATCH(E$5&amp;"_"&amp;150,Tareas!$N$6:$N$205,0),1)&amp;" · "&amp;INDEX(Tareas!$D$6:$D$205,MATCH(E$5&amp;"_"&amp;150,Tareas!$N$6:$N$205,0),1)&amp;CHAR(10)&amp;INDEX(Tareas!$C$6:$C$205,MATCH(E$5&amp;"_"&amp;150,Tareas!$N$6:$N$205,0),1)&amp;CHAR(10)&amp;INDEX(Tareas!$E$6:$E$205,MATCH(E$5&amp;"_"&amp;150,Tareas!$N$6:$N$205,0),1)&amp;CHAR(10)&amp;INDEX(Tareas!$O$6:$O$205,MATCH(E$5&amp;"_"&amp;150,Tareas!$N$6:$N$205,0),1))</x:f>
      </x:c>
      <x:c r="F155" s="21" t="str">
        <x:f>IF(150&gt;F$4,"",INDEX(Tareas!$A$6:$A$205,MATCH(F$5&amp;"_"&amp;150,Tareas!$N$6:$N$205,0),1)&amp;" · "&amp;INDEX(Tareas!$D$6:$D$205,MATCH(F$5&amp;"_"&amp;150,Tareas!$N$6:$N$205,0),1)&amp;CHAR(10)&amp;INDEX(Tareas!$C$6:$C$205,MATCH(F$5&amp;"_"&amp;150,Tareas!$N$6:$N$205,0),1)&amp;CHAR(10)&amp;INDEX(Tareas!$E$6:$E$205,MATCH(F$5&amp;"_"&amp;150,Tareas!$N$6:$N$205,0),1)&amp;CHAR(10)&amp;INDEX(Tareas!$O$6:$O$205,MATCH(F$5&amp;"_"&amp;150,Tareas!$N$6:$N$205,0),1))</x:f>
      </x:c>
    </x:row>
    <x:row r="156" ht="76" customHeight="1">
      <x:c r="A156" s="21" t="str">
        <x:f>IF(151&gt;A$4,"",INDEX(Tareas!$A$6:$A$205,MATCH(A$5&amp;"_"&amp;151,Tareas!$N$6:$N$205,0),1)&amp;" · "&amp;INDEX(Tareas!$D$6:$D$205,MATCH(A$5&amp;"_"&amp;151,Tareas!$N$6:$N$205,0),1)&amp;CHAR(10)&amp;INDEX(Tareas!$C$6:$C$205,MATCH(A$5&amp;"_"&amp;151,Tareas!$N$6:$N$205,0),1)&amp;CHAR(10)&amp;INDEX(Tareas!$E$6:$E$205,MATCH(A$5&amp;"_"&amp;151,Tareas!$N$6:$N$205,0),1)&amp;CHAR(10)&amp;INDEX(Tareas!$O$6:$O$205,MATCH(A$5&amp;"_"&amp;151,Tareas!$N$6:$N$205,0),1))</x:f>
      </x:c>
      <x:c r="B156" s="21" t="str">
        <x:f>IF(151&gt;B$4,"",INDEX(Tareas!$A$6:$A$205,MATCH(B$5&amp;"_"&amp;151,Tareas!$N$6:$N$205,0),1)&amp;" · "&amp;INDEX(Tareas!$D$6:$D$205,MATCH(B$5&amp;"_"&amp;151,Tareas!$N$6:$N$205,0),1)&amp;CHAR(10)&amp;INDEX(Tareas!$C$6:$C$205,MATCH(B$5&amp;"_"&amp;151,Tareas!$N$6:$N$205,0),1)&amp;CHAR(10)&amp;INDEX(Tareas!$E$6:$E$205,MATCH(B$5&amp;"_"&amp;151,Tareas!$N$6:$N$205,0),1)&amp;CHAR(10)&amp;INDEX(Tareas!$O$6:$O$205,MATCH(B$5&amp;"_"&amp;151,Tareas!$N$6:$N$205,0),1))</x:f>
      </x:c>
      <x:c r="C156" s="21" t="str">
        <x:f>IF(151&gt;C$4,"",INDEX(Tareas!$A$6:$A$205,MATCH(C$5&amp;"_"&amp;151,Tareas!$N$6:$N$205,0),1)&amp;" · "&amp;INDEX(Tareas!$D$6:$D$205,MATCH(C$5&amp;"_"&amp;151,Tareas!$N$6:$N$205,0),1)&amp;CHAR(10)&amp;INDEX(Tareas!$C$6:$C$205,MATCH(C$5&amp;"_"&amp;151,Tareas!$N$6:$N$205,0),1)&amp;CHAR(10)&amp;INDEX(Tareas!$E$6:$E$205,MATCH(C$5&amp;"_"&amp;151,Tareas!$N$6:$N$205,0),1)&amp;CHAR(10)&amp;INDEX(Tareas!$O$6:$O$205,MATCH(C$5&amp;"_"&amp;151,Tareas!$N$6:$N$205,0),1))</x:f>
      </x:c>
      <x:c r="D156" s="21" t="str">
        <x:f>IF(151&gt;D$4,"",INDEX(Tareas!$A$6:$A$205,MATCH(D$5&amp;"_"&amp;151,Tareas!$N$6:$N$205,0),1)&amp;" · "&amp;INDEX(Tareas!$D$6:$D$205,MATCH(D$5&amp;"_"&amp;151,Tareas!$N$6:$N$205,0),1)&amp;CHAR(10)&amp;INDEX(Tareas!$C$6:$C$205,MATCH(D$5&amp;"_"&amp;151,Tareas!$N$6:$N$205,0),1)&amp;CHAR(10)&amp;INDEX(Tareas!$E$6:$E$205,MATCH(D$5&amp;"_"&amp;151,Tareas!$N$6:$N$205,0),1)&amp;CHAR(10)&amp;INDEX(Tareas!$O$6:$O$205,MATCH(D$5&amp;"_"&amp;151,Tareas!$N$6:$N$205,0),1))</x:f>
      </x:c>
      <x:c r="E156" s="21" t="str">
        <x:f>IF(151&gt;E$4,"",INDEX(Tareas!$A$6:$A$205,MATCH(E$5&amp;"_"&amp;151,Tareas!$N$6:$N$205,0),1)&amp;" · "&amp;INDEX(Tareas!$D$6:$D$205,MATCH(E$5&amp;"_"&amp;151,Tareas!$N$6:$N$205,0),1)&amp;CHAR(10)&amp;INDEX(Tareas!$C$6:$C$205,MATCH(E$5&amp;"_"&amp;151,Tareas!$N$6:$N$205,0),1)&amp;CHAR(10)&amp;INDEX(Tareas!$E$6:$E$205,MATCH(E$5&amp;"_"&amp;151,Tareas!$N$6:$N$205,0),1)&amp;CHAR(10)&amp;INDEX(Tareas!$O$6:$O$205,MATCH(E$5&amp;"_"&amp;151,Tareas!$N$6:$N$205,0),1))</x:f>
      </x:c>
      <x:c r="F156" s="21" t="str">
        <x:f>IF(151&gt;F$4,"",INDEX(Tareas!$A$6:$A$205,MATCH(F$5&amp;"_"&amp;151,Tareas!$N$6:$N$205,0),1)&amp;" · "&amp;INDEX(Tareas!$D$6:$D$205,MATCH(F$5&amp;"_"&amp;151,Tareas!$N$6:$N$205,0),1)&amp;CHAR(10)&amp;INDEX(Tareas!$C$6:$C$205,MATCH(F$5&amp;"_"&amp;151,Tareas!$N$6:$N$205,0),1)&amp;CHAR(10)&amp;INDEX(Tareas!$E$6:$E$205,MATCH(F$5&amp;"_"&amp;151,Tareas!$N$6:$N$205,0),1)&amp;CHAR(10)&amp;INDEX(Tareas!$O$6:$O$205,MATCH(F$5&amp;"_"&amp;151,Tareas!$N$6:$N$205,0),1))</x:f>
      </x:c>
    </x:row>
    <x:row r="157" ht="76" customHeight="1">
      <x:c r="A157" s="21" t="str">
        <x:f>IF(152&gt;A$4,"",INDEX(Tareas!$A$6:$A$205,MATCH(A$5&amp;"_"&amp;152,Tareas!$N$6:$N$205,0),1)&amp;" · "&amp;INDEX(Tareas!$D$6:$D$205,MATCH(A$5&amp;"_"&amp;152,Tareas!$N$6:$N$205,0),1)&amp;CHAR(10)&amp;INDEX(Tareas!$C$6:$C$205,MATCH(A$5&amp;"_"&amp;152,Tareas!$N$6:$N$205,0),1)&amp;CHAR(10)&amp;INDEX(Tareas!$E$6:$E$205,MATCH(A$5&amp;"_"&amp;152,Tareas!$N$6:$N$205,0),1)&amp;CHAR(10)&amp;INDEX(Tareas!$O$6:$O$205,MATCH(A$5&amp;"_"&amp;152,Tareas!$N$6:$N$205,0),1))</x:f>
      </x:c>
      <x:c r="B157" s="21" t="str">
        <x:f>IF(152&gt;B$4,"",INDEX(Tareas!$A$6:$A$205,MATCH(B$5&amp;"_"&amp;152,Tareas!$N$6:$N$205,0),1)&amp;" · "&amp;INDEX(Tareas!$D$6:$D$205,MATCH(B$5&amp;"_"&amp;152,Tareas!$N$6:$N$205,0),1)&amp;CHAR(10)&amp;INDEX(Tareas!$C$6:$C$205,MATCH(B$5&amp;"_"&amp;152,Tareas!$N$6:$N$205,0),1)&amp;CHAR(10)&amp;INDEX(Tareas!$E$6:$E$205,MATCH(B$5&amp;"_"&amp;152,Tareas!$N$6:$N$205,0),1)&amp;CHAR(10)&amp;INDEX(Tareas!$O$6:$O$205,MATCH(B$5&amp;"_"&amp;152,Tareas!$N$6:$N$205,0),1))</x:f>
      </x:c>
      <x:c r="C157" s="21" t="str">
        <x:f>IF(152&gt;C$4,"",INDEX(Tareas!$A$6:$A$205,MATCH(C$5&amp;"_"&amp;152,Tareas!$N$6:$N$205,0),1)&amp;" · "&amp;INDEX(Tareas!$D$6:$D$205,MATCH(C$5&amp;"_"&amp;152,Tareas!$N$6:$N$205,0),1)&amp;CHAR(10)&amp;INDEX(Tareas!$C$6:$C$205,MATCH(C$5&amp;"_"&amp;152,Tareas!$N$6:$N$205,0),1)&amp;CHAR(10)&amp;INDEX(Tareas!$E$6:$E$205,MATCH(C$5&amp;"_"&amp;152,Tareas!$N$6:$N$205,0),1)&amp;CHAR(10)&amp;INDEX(Tareas!$O$6:$O$205,MATCH(C$5&amp;"_"&amp;152,Tareas!$N$6:$N$205,0),1))</x:f>
      </x:c>
      <x:c r="D157" s="21" t="str">
        <x:f>IF(152&gt;D$4,"",INDEX(Tareas!$A$6:$A$205,MATCH(D$5&amp;"_"&amp;152,Tareas!$N$6:$N$205,0),1)&amp;" · "&amp;INDEX(Tareas!$D$6:$D$205,MATCH(D$5&amp;"_"&amp;152,Tareas!$N$6:$N$205,0),1)&amp;CHAR(10)&amp;INDEX(Tareas!$C$6:$C$205,MATCH(D$5&amp;"_"&amp;152,Tareas!$N$6:$N$205,0),1)&amp;CHAR(10)&amp;INDEX(Tareas!$E$6:$E$205,MATCH(D$5&amp;"_"&amp;152,Tareas!$N$6:$N$205,0),1)&amp;CHAR(10)&amp;INDEX(Tareas!$O$6:$O$205,MATCH(D$5&amp;"_"&amp;152,Tareas!$N$6:$N$205,0),1))</x:f>
      </x:c>
      <x:c r="E157" s="21" t="str">
        <x:f>IF(152&gt;E$4,"",INDEX(Tareas!$A$6:$A$205,MATCH(E$5&amp;"_"&amp;152,Tareas!$N$6:$N$205,0),1)&amp;" · "&amp;INDEX(Tareas!$D$6:$D$205,MATCH(E$5&amp;"_"&amp;152,Tareas!$N$6:$N$205,0),1)&amp;CHAR(10)&amp;INDEX(Tareas!$C$6:$C$205,MATCH(E$5&amp;"_"&amp;152,Tareas!$N$6:$N$205,0),1)&amp;CHAR(10)&amp;INDEX(Tareas!$E$6:$E$205,MATCH(E$5&amp;"_"&amp;152,Tareas!$N$6:$N$205,0),1)&amp;CHAR(10)&amp;INDEX(Tareas!$O$6:$O$205,MATCH(E$5&amp;"_"&amp;152,Tareas!$N$6:$N$205,0),1))</x:f>
      </x:c>
      <x:c r="F157" s="21" t="str">
        <x:f>IF(152&gt;F$4,"",INDEX(Tareas!$A$6:$A$205,MATCH(F$5&amp;"_"&amp;152,Tareas!$N$6:$N$205,0),1)&amp;" · "&amp;INDEX(Tareas!$D$6:$D$205,MATCH(F$5&amp;"_"&amp;152,Tareas!$N$6:$N$205,0),1)&amp;CHAR(10)&amp;INDEX(Tareas!$C$6:$C$205,MATCH(F$5&amp;"_"&amp;152,Tareas!$N$6:$N$205,0),1)&amp;CHAR(10)&amp;INDEX(Tareas!$E$6:$E$205,MATCH(F$5&amp;"_"&amp;152,Tareas!$N$6:$N$205,0),1)&amp;CHAR(10)&amp;INDEX(Tareas!$O$6:$O$205,MATCH(F$5&amp;"_"&amp;152,Tareas!$N$6:$N$205,0),1))</x:f>
      </x:c>
    </x:row>
    <x:row r="158" ht="76" customHeight="1">
      <x:c r="A158" s="21" t="str">
        <x:f>IF(153&gt;A$4,"",INDEX(Tareas!$A$6:$A$205,MATCH(A$5&amp;"_"&amp;153,Tareas!$N$6:$N$205,0),1)&amp;" · "&amp;INDEX(Tareas!$D$6:$D$205,MATCH(A$5&amp;"_"&amp;153,Tareas!$N$6:$N$205,0),1)&amp;CHAR(10)&amp;INDEX(Tareas!$C$6:$C$205,MATCH(A$5&amp;"_"&amp;153,Tareas!$N$6:$N$205,0),1)&amp;CHAR(10)&amp;INDEX(Tareas!$E$6:$E$205,MATCH(A$5&amp;"_"&amp;153,Tareas!$N$6:$N$205,0),1)&amp;CHAR(10)&amp;INDEX(Tareas!$O$6:$O$205,MATCH(A$5&amp;"_"&amp;153,Tareas!$N$6:$N$205,0),1))</x:f>
      </x:c>
      <x:c r="B158" s="21" t="str">
        <x:f>IF(153&gt;B$4,"",INDEX(Tareas!$A$6:$A$205,MATCH(B$5&amp;"_"&amp;153,Tareas!$N$6:$N$205,0),1)&amp;" · "&amp;INDEX(Tareas!$D$6:$D$205,MATCH(B$5&amp;"_"&amp;153,Tareas!$N$6:$N$205,0),1)&amp;CHAR(10)&amp;INDEX(Tareas!$C$6:$C$205,MATCH(B$5&amp;"_"&amp;153,Tareas!$N$6:$N$205,0),1)&amp;CHAR(10)&amp;INDEX(Tareas!$E$6:$E$205,MATCH(B$5&amp;"_"&amp;153,Tareas!$N$6:$N$205,0),1)&amp;CHAR(10)&amp;INDEX(Tareas!$O$6:$O$205,MATCH(B$5&amp;"_"&amp;153,Tareas!$N$6:$N$205,0),1))</x:f>
      </x:c>
      <x:c r="C158" s="21" t="str">
        <x:f>IF(153&gt;C$4,"",INDEX(Tareas!$A$6:$A$205,MATCH(C$5&amp;"_"&amp;153,Tareas!$N$6:$N$205,0),1)&amp;" · "&amp;INDEX(Tareas!$D$6:$D$205,MATCH(C$5&amp;"_"&amp;153,Tareas!$N$6:$N$205,0),1)&amp;CHAR(10)&amp;INDEX(Tareas!$C$6:$C$205,MATCH(C$5&amp;"_"&amp;153,Tareas!$N$6:$N$205,0),1)&amp;CHAR(10)&amp;INDEX(Tareas!$E$6:$E$205,MATCH(C$5&amp;"_"&amp;153,Tareas!$N$6:$N$205,0),1)&amp;CHAR(10)&amp;INDEX(Tareas!$O$6:$O$205,MATCH(C$5&amp;"_"&amp;153,Tareas!$N$6:$N$205,0),1))</x:f>
      </x:c>
      <x:c r="D158" s="21" t="str">
        <x:f>IF(153&gt;D$4,"",INDEX(Tareas!$A$6:$A$205,MATCH(D$5&amp;"_"&amp;153,Tareas!$N$6:$N$205,0),1)&amp;" · "&amp;INDEX(Tareas!$D$6:$D$205,MATCH(D$5&amp;"_"&amp;153,Tareas!$N$6:$N$205,0),1)&amp;CHAR(10)&amp;INDEX(Tareas!$C$6:$C$205,MATCH(D$5&amp;"_"&amp;153,Tareas!$N$6:$N$205,0),1)&amp;CHAR(10)&amp;INDEX(Tareas!$E$6:$E$205,MATCH(D$5&amp;"_"&amp;153,Tareas!$N$6:$N$205,0),1)&amp;CHAR(10)&amp;INDEX(Tareas!$O$6:$O$205,MATCH(D$5&amp;"_"&amp;153,Tareas!$N$6:$N$205,0),1))</x:f>
      </x:c>
      <x:c r="E158" s="21" t="str">
        <x:f>IF(153&gt;E$4,"",INDEX(Tareas!$A$6:$A$205,MATCH(E$5&amp;"_"&amp;153,Tareas!$N$6:$N$205,0),1)&amp;" · "&amp;INDEX(Tareas!$D$6:$D$205,MATCH(E$5&amp;"_"&amp;153,Tareas!$N$6:$N$205,0),1)&amp;CHAR(10)&amp;INDEX(Tareas!$C$6:$C$205,MATCH(E$5&amp;"_"&amp;153,Tareas!$N$6:$N$205,0),1)&amp;CHAR(10)&amp;INDEX(Tareas!$E$6:$E$205,MATCH(E$5&amp;"_"&amp;153,Tareas!$N$6:$N$205,0),1)&amp;CHAR(10)&amp;INDEX(Tareas!$O$6:$O$205,MATCH(E$5&amp;"_"&amp;153,Tareas!$N$6:$N$205,0),1))</x:f>
      </x:c>
      <x:c r="F158" s="21" t="str">
        <x:f>IF(153&gt;F$4,"",INDEX(Tareas!$A$6:$A$205,MATCH(F$5&amp;"_"&amp;153,Tareas!$N$6:$N$205,0),1)&amp;" · "&amp;INDEX(Tareas!$D$6:$D$205,MATCH(F$5&amp;"_"&amp;153,Tareas!$N$6:$N$205,0),1)&amp;CHAR(10)&amp;INDEX(Tareas!$C$6:$C$205,MATCH(F$5&amp;"_"&amp;153,Tareas!$N$6:$N$205,0),1)&amp;CHAR(10)&amp;INDEX(Tareas!$E$6:$E$205,MATCH(F$5&amp;"_"&amp;153,Tareas!$N$6:$N$205,0),1)&amp;CHAR(10)&amp;INDEX(Tareas!$O$6:$O$205,MATCH(F$5&amp;"_"&amp;153,Tareas!$N$6:$N$205,0),1))</x:f>
      </x:c>
    </x:row>
    <x:row r="159" ht="76" customHeight="1">
      <x:c r="A159" s="21" t="str">
        <x:f>IF(154&gt;A$4,"",INDEX(Tareas!$A$6:$A$205,MATCH(A$5&amp;"_"&amp;154,Tareas!$N$6:$N$205,0),1)&amp;" · "&amp;INDEX(Tareas!$D$6:$D$205,MATCH(A$5&amp;"_"&amp;154,Tareas!$N$6:$N$205,0),1)&amp;CHAR(10)&amp;INDEX(Tareas!$C$6:$C$205,MATCH(A$5&amp;"_"&amp;154,Tareas!$N$6:$N$205,0),1)&amp;CHAR(10)&amp;INDEX(Tareas!$E$6:$E$205,MATCH(A$5&amp;"_"&amp;154,Tareas!$N$6:$N$205,0),1)&amp;CHAR(10)&amp;INDEX(Tareas!$O$6:$O$205,MATCH(A$5&amp;"_"&amp;154,Tareas!$N$6:$N$205,0),1))</x:f>
      </x:c>
      <x:c r="B159" s="21" t="str">
        <x:f>IF(154&gt;B$4,"",INDEX(Tareas!$A$6:$A$205,MATCH(B$5&amp;"_"&amp;154,Tareas!$N$6:$N$205,0),1)&amp;" · "&amp;INDEX(Tareas!$D$6:$D$205,MATCH(B$5&amp;"_"&amp;154,Tareas!$N$6:$N$205,0),1)&amp;CHAR(10)&amp;INDEX(Tareas!$C$6:$C$205,MATCH(B$5&amp;"_"&amp;154,Tareas!$N$6:$N$205,0),1)&amp;CHAR(10)&amp;INDEX(Tareas!$E$6:$E$205,MATCH(B$5&amp;"_"&amp;154,Tareas!$N$6:$N$205,0),1)&amp;CHAR(10)&amp;INDEX(Tareas!$O$6:$O$205,MATCH(B$5&amp;"_"&amp;154,Tareas!$N$6:$N$205,0),1))</x:f>
      </x:c>
      <x:c r="C159" s="21" t="str">
        <x:f>IF(154&gt;C$4,"",INDEX(Tareas!$A$6:$A$205,MATCH(C$5&amp;"_"&amp;154,Tareas!$N$6:$N$205,0),1)&amp;" · "&amp;INDEX(Tareas!$D$6:$D$205,MATCH(C$5&amp;"_"&amp;154,Tareas!$N$6:$N$205,0),1)&amp;CHAR(10)&amp;INDEX(Tareas!$C$6:$C$205,MATCH(C$5&amp;"_"&amp;154,Tareas!$N$6:$N$205,0),1)&amp;CHAR(10)&amp;INDEX(Tareas!$E$6:$E$205,MATCH(C$5&amp;"_"&amp;154,Tareas!$N$6:$N$205,0),1)&amp;CHAR(10)&amp;INDEX(Tareas!$O$6:$O$205,MATCH(C$5&amp;"_"&amp;154,Tareas!$N$6:$N$205,0),1))</x:f>
      </x:c>
      <x:c r="D159" s="21" t="str">
        <x:f>IF(154&gt;D$4,"",INDEX(Tareas!$A$6:$A$205,MATCH(D$5&amp;"_"&amp;154,Tareas!$N$6:$N$205,0),1)&amp;" · "&amp;INDEX(Tareas!$D$6:$D$205,MATCH(D$5&amp;"_"&amp;154,Tareas!$N$6:$N$205,0),1)&amp;CHAR(10)&amp;INDEX(Tareas!$C$6:$C$205,MATCH(D$5&amp;"_"&amp;154,Tareas!$N$6:$N$205,0),1)&amp;CHAR(10)&amp;INDEX(Tareas!$E$6:$E$205,MATCH(D$5&amp;"_"&amp;154,Tareas!$N$6:$N$205,0),1)&amp;CHAR(10)&amp;INDEX(Tareas!$O$6:$O$205,MATCH(D$5&amp;"_"&amp;154,Tareas!$N$6:$N$205,0),1))</x:f>
      </x:c>
      <x:c r="E159" s="21" t="str">
        <x:f>IF(154&gt;E$4,"",INDEX(Tareas!$A$6:$A$205,MATCH(E$5&amp;"_"&amp;154,Tareas!$N$6:$N$205,0),1)&amp;" · "&amp;INDEX(Tareas!$D$6:$D$205,MATCH(E$5&amp;"_"&amp;154,Tareas!$N$6:$N$205,0),1)&amp;CHAR(10)&amp;INDEX(Tareas!$C$6:$C$205,MATCH(E$5&amp;"_"&amp;154,Tareas!$N$6:$N$205,0),1)&amp;CHAR(10)&amp;INDEX(Tareas!$E$6:$E$205,MATCH(E$5&amp;"_"&amp;154,Tareas!$N$6:$N$205,0),1)&amp;CHAR(10)&amp;INDEX(Tareas!$O$6:$O$205,MATCH(E$5&amp;"_"&amp;154,Tareas!$N$6:$N$205,0),1))</x:f>
      </x:c>
      <x:c r="F159" s="21" t="str">
        <x:f>IF(154&gt;F$4,"",INDEX(Tareas!$A$6:$A$205,MATCH(F$5&amp;"_"&amp;154,Tareas!$N$6:$N$205,0),1)&amp;" · "&amp;INDEX(Tareas!$D$6:$D$205,MATCH(F$5&amp;"_"&amp;154,Tareas!$N$6:$N$205,0),1)&amp;CHAR(10)&amp;INDEX(Tareas!$C$6:$C$205,MATCH(F$5&amp;"_"&amp;154,Tareas!$N$6:$N$205,0),1)&amp;CHAR(10)&amp;INDEX(Tareas!$E$6:$E$205,MATCH(F$5&amp;"_"&amp;154,Tareas!$N$6:$N$205,0),1)&amp;CHAR(10)&amp;INDEX(Tareas!$O$6:$O$205,MATCH(F$5&amp;"_"&amp;154,Tareas!$N$6:$N$205,0),1))</x:f>
      </x:c>
    </x:row>
    <x:row r="160" ht="76" customHeight="1">
      <x:c r="A160" s="21" t="str">
        <x:f>IF(155&gt;A$4,"",INDEX(Tareas!$A$6:$A$205,MATCH(A$5&amp;"_"&amp;155,Tareas!$N$6:$N$205,0),1)&amp;" · "&amp;INDEX(Tareas!$D$6:$D$205,MATCH(A$5&amp;"_"&amp;155,Tareas!$N$6:$N$205,0),1)&amp;CHAR(10)&amp;INDEX(Tareas!$C$6:$C$205,MATCH(A$5&amp;"_"&amp;155,Tareas!$N$6:$N$205,0),1)&amp;CHAR(10)&amp;INDEX(Tareas!$E$6:$E$205,MATCH(A$5&amp;"_"&amp;155,Tareas!$N$6:$N$205,0),1)&amp;CHAR(10)&amp;INDEX(Tareas!$O$6:$O$205,MATCH(A$5&amp;"_"&amp;155,Tareas!$N$6:$N$205,0),1))</x:f>
      </x:c>
      <x:c r="B160" s="21" t="str">
        <x:f>IF(155&gt;B$4,"",INDEX(Tareas!$A$6:$A$205,MATCH(B$5&amp;"_"&amp;155,Tareas!$N$6:$N$205,0),1)&amp;" · "&amp;INDEX(Tareas!$D$6:$D$205,MATCH(B$5&amp;"_"&amp;155,Tareas!$N$6:$N$205,0),1)&amp;CHAR(10)&amp;INDEX(Tareas!$C$6:$C$205,MATCH(B$5&amp;"_"&amp;155,Tareas!$N$6:$N$205,0),1)&amp;CHAR(10)&amp;INDEX(Tareas!$E$6:$E$205,MATCH(B$5&amp;"_"&amp;155,Tareas!$N$6:$N$205,0),1)&amp;CHAR(10)&amp;INDEX(Tareas!$O$6:$O$205,MATCH(B$5&amp;"_"&amp;155,Tareas!$N$6:$N$205,0),1))</x:f>
      </x:c>
      <x:c r="C160" s="21" t="str">
        <x:f>IF(155&gt;C$4,"",INDEX(Tareas!$A$6:$A$205,MATCH(C$5&amp;"_"&amp;155,Tareas!$N$6:$N$205,0),1)&amp;" · "&amp;INDEX(Tareas!$D$6:$D$205,MATCH(C$5&amp;"_"&amp;155,Tareas!$N$6:$N$205,0),1)&amp;CHAR(10)&amp;INDEX(Tareas!$C$6:$C$205,MATCH(C$5&amp;"_"&amp;155,Tareas!$N$6:$N$205,0),1)&amp;CHAR(10)&amp;INDEX(Tareas!$E$6:$E$205,MATCH(C$5&amp;"_"&amp;155,Tareas!$N$6:$N$205,0),1)&amp;CHAR(10)&amp;INDEX(Tareas!$O$6:$O$205,MATCH(C$5&amp;"_"&amp;155,Tareas!$N$6:$N$205,0),1))</x:f>
      </x:c>
      <x:c r="D160" s="21" t="str">
        <x:f>IF(155&gt;D$4,"",INDEX(Tareas!$A$6:$A$205,MATCH(D$5&amp;"_"&amp;155,Tareas!$N$6:$N$205,0),1)&amp;" · "&amp;INDEX(Tareas!$D$6:$D$205,MATCH(D$5&amp;"_"&amp;155,Tareas!$N$6:$N$205,0),1)&amp;CHAR(10)&amp;INDEX(Tareas!$C$6:$C$205,MATCH(D$5&amp;"_"&amp;155,Tareas!$N$6:$N$205,0),1)&amp;CHAR(10)&amp;INDEX(Tareas!$E$6:$E$205,MATCH(D$5&amp;"_"&amp;155,Tareas!$N$6:$N$205,0),1)&amp;CHAR(10)&amp;INDEX(Tareas!$O$6:$O$205,MATCH(D$5&amp;"_"&amp;155,Tareas!$N$6:$N$205,0),1))</x:f>
      </x:c>
      <x:c r="E160" s="21" t="str">
        <x:f>IF(155&gt;E$4,"",INDEX(Tareas!$A$6:$A$205,MATCH(E$5&amp;"_"&amp;155,Tareas!$N$6:$N$205,0),1)&amp;" · "&amp;INDEX(Tareas!$D$6:$D$205,MATCH(E$5&amp;"_"&amp;155,Tareas!$N$6:$N$205,0),1)&amp;CHAR(10)&amp;INDEX(Tareas!$C$6:$C$205,MATCH(E$5&amp;"_"&amp;155,Tareas!$N$6:$N$205,0),1)&amp;CHAR(10)&amp;INDEX(Tareas!$E$6:$E$205,MATCH(E$5&amp;"_"&amp;155,Tareas!$N$6:$N$205,0),1)&amp;CHAR(10)&amp;INDEX(Tareas!$O$6:$O$205,MATCH(E$5&amp;"_"&amp;155,Tareas!$N$6:$N$205,0),1))</x:f>
      </x:c>
      <x:c r="F160" s="21" t="str">
        <x:f>IF(155&gt;F$4,"",INDEX(Tareas!$A$6:$A$205,MATCH(F$5&amp;"_"&amp;155,Tareas!$N$6:$N$205,0),1)&amp;" · "&amp;INDEX(Tareas!$D$6:$D$205,MATCH(F$5&amp;"_"&amp;155,Tareas!$N$6:$N$205,0),1)&amp;CHAR(10)&amp;INDEX(Tareas!$C$6:$C$205,MATCH(F$5&amp;"_"&amp;155,Tareas!$N$6:$N$205,0),1)&amp;CHAR(10)&amp;INDEX(Tareas!$E$6:$E$205,MATCH(F$5&amp;"_"&amp;155,Tareas!$N$6:$N$205,0),1)&amp;CHAR(10)&amp;INDEX(Tareas!$O$6:$O$205,MATCH(F$5&amp;"_"&amp;155,Tareas!$N$6:$N$205,0),1))</x:f>
      </x:c>
    </x:row>
    <x:row r="161" ht="76" customHeight="1">
      <x:c r="A161" s="21" t="str">
        <x:f>IF(156&gt;A$4,"",INDEX(Tareas!$A$6:$A$205,MATCH(A$5&amp;"_"&amp;156,Tareas!$N$6:$N$205,0),1)&amp;" · "&amp;INDEX(Tareas!$D$6:$D$205,MATCH(A$5&amp;"_"&amp;156,Tareas!$N$6:$N$205,0),1)&amp;CHAR(10)&amp;INDEX(Tareas!$C$6:$C$205,MATCH(A$5&amp;"_"&amp;156,Tareas!$N$6:$N$205,0),1)&amp;CHAR(10)&amp;INDEX(Tareas!$E$6:$E$205,MATCH(A$5&amp;"_"&amp;156,Tareas!$N$6:$N$205,0),1)&amp;CHAR(10)&amp;INDEX(Tareas!$O$6:$O$205,MATCH(A$5&amp;"_"&amp;156,Tareas!$N$6:$N$205,0),1))</x:f>
      </x:c>
      <x:c r="B161" s="21" t="str">
        <x:f>IF(156&gt;B$4,"",INDEX(Tareas!$A$6:$A$205,MATCH(B$5&amp;"_"&amp;156,Tareas!$N$6:$N$205,0),1)&amp;" · "&amp;INDEX(Tareas!$D$6:$D$205,MATCH(B$5&amp;"_"&amp;156,Tareas!$N$6:$N$205,0),1)&amp;CHAR(10)&amp;INDEX(Tareas!$C$6:$C$205,MATCH(B$5&amp;"_"&amp;156,Tareas!$N$6:$N$205,0),1)&amp;CHAR(10)&amp;INDEX(Tareas!$E$6:$E$205,MATCH(B$5&amp;"_"&amp;156,Tareas!$N$6:$N$205,0),1)&amp;CHAR(10)&amp;INDEX(Tareas!$O$6:$O$205,MATCH(B$5&amp;"_"&amp;156,Tareas!$N$6:$N$205,0),1))</x:f>
      </x:c>
      <x:c r="C161" s="21" t="str">
        <x:f>IF(156&gt;C$4,"",INDEX(Tareas!$A$6:$A$205,MATCH(C$5&amp;"_"&amp;156,Tareas!$N$6:$N$205,0),1)&amp;" · "&amp;INDEX(Tareas!$D$6:$D$205,MATCH(C$5&amp;"_"&amp;156,Tareas!$N$6:$N$205,0),1)&amp;CHAR(10)&amp;INDEX(Tareas!$C$6:$C$205,MATCH(C$5&amp;"_"&amp;156,Tareas!$N$6:$N$205,0),1)&amp;CHAR(10)&amp;INDEX(Tareas!$E$6:$E$205,MATCH(C$5&amp;"_"&amp;156,Tareas!$N$6:$N$205,0),1)&amp;CHAR(10)&amp;INDEX(Tareas!$O$6:$O$205,MATCH(C$5&amp;"_"&amp;156,Tareas!$N$6:$N$205,0),1))</x:f>
      </x:c>
      <x:c r="D161" s="21" t="str">
        <x:f>IF(156&gt;D$4,"",INDEX(Tareas!$A$6:$A$205,MATCH(D$5&amp;"_"&amp;156,Tareas!$N$6:$N$205,0),1)&amp;" · "&amp;INDEX(Tareas!$D$6:$D$205,MATCH(D$5&amp;"_"&amp;156,Tareas!$N$6:$N$205,0),1)&amp;CHAR(10)&amp;INDEX(Tareas!$C$6:$C$205,MATCH(D$5&amp;"_"&amp;156,Tareas!$N$6:$N$205,0),1)&amp;CHAR(10)&amp;INDEX(Tareas!$E$6:$E$205,MATCH(D$5&amp;"_"&amp;156,Tareas!$N$6:$N$205,0),1)&amp;CHAR(10)&amp;INDEX(Tareas!$O$6:$O$205,MATCH(D$5&amp;"_"&amp;156,Tareas!$N$6:$N$205,0),1))</x:f>
      </x:c>
      <x:c r="E161" s="21" t="str">
        <x:f>IF(156&gt;E$4,"",INDEX(Tareas!$A$6:$A$205,MATCH(E$5&amp;"_"&amp;156,Tareas!$N$6:$N$205,0),1)&amp;" · "&amp;INDEX(Tareas!$D$6:$D$205,MATCH(E$5&amp;"_"&amp;156,Tareas!$N$6:$N$205,0),1)&amp;CHAR(10)&amp;INDEX(Tareas!$C$6:$C$205,MATCH(E$5&amp;"_"&amp;156,Tareas!$N$6:$N$205,0),1)&amp;CHAR(10)&amp;INDEX(Tareas!$E$6:$E$205,MATCH(E$5&amp;"_"&amp;156,Tareas!$N$6:$N$205,0),1)&amp;CHAR(10)&amp;INDEX(Tareas!$O$6:$O$205,MATCH(E$5&amp;"_"&amp;156,Tareas!$N$6:$N$205,0),1))</x:f>
      </x:c>
      <x:c r="F161" s="21" t="str">
        <x:f>IF(156&gt;F$4,"",INDEX(Tareas!$A$6:$A$205,MATCH(F$5&amp;"_"&amp;156,Tareas!$N$6:$N$205,0),1)&amp;" · "&amp;INDEX(Tareas!$D$6:$D$205,MATCH(F$5&amp;"_"&amp;156,Tareas!$N$6:$N$205,0),1)&amp;CHAR(10)&amp;INDEX(Tareas!$C$6:$C$205,MATCH(F$5&amp;"_"&amp;156,Tareas!$N$6:$N$205,0),1)&amp;CHAR(10)&amp;INDEX(Tareas!$E$6:$E$205,MATCH(F$5&amp;"_"&amp;156,Tareas!$N$6:$N$205,0),1)&amp;CHAR(10)&amp;INDEX(Tareas!$O$6:$O$205,MATCH(F$5&amp;"_"&amp;156,Tareas!$N$6:$N$205,0),1))</x:f>
      </x:c>
    </x:row>
    <x:row r="162" ht="76" customHeight="1">
      <x:c r="A162" s="21" t="str">
        <x:f>IF(157&gt;A$4,"",INDEX(Tareas!$A$6:$A$205,MATCH(A$5&amp;"_"&amp;157,Tareas!$N$6:$N$205,0),1)&amp;" · "&amp;INDEX(Tareas!$D$6:$D$205,MATCH(A$5&amp;"_"&amp;157,Tareas!$N$6:$N$205,0),1)&amp;CHAR(10)&amp;INDEX(Tareas!$C$6:$C$205,MATCH(A$5&amp;"_"&amp;157,Tareas!$N$6:$N$205,0),1)&amp;CHAR(10)&amp;INDEX(Tareas!$E$6:$E$205,MATCH(A$5&amp;"_"&amp;157,Tareas!$N$6:$N$205,0),1)&amp;CHAR(10)&amp;INDEX(Tareas!$O$6:$O$205,MATCH(A$5&amp;"_"&amp;157,Tareas!$N$6:$N$205,0),1))</x:f>
      </x:c>
      <x:c r="B162" s="21" t="str">
        <x:f>IF(157&gt;B$4,"",INDEX(Tareas!$A$6:$A$205,MATCH(B$5&amp;"_"&amp;157,Tareas!$N$6:$N$205,0),1)&amp;" · "&amp;INDEX(Tareas!$D$6:$D$205,MATCH(B$5&amp;"_"&amp;157,Tareas!$N$6:$N$205,0),1)&amp;CHAR(10)&amp;INDEX(Tareas!$C$6:$C$205,MATCH(B$5&amp;"_"&amp;157,Tareas!$N$6:$N$205,0),1)&amp;CHAR(10)&amp;INDEX(Tareas!$E$6:$E$205,MATCH(B$5&amp;"_"&amp;157,Tareas!$N$6:$N$205,0),1)&amp;CHAR(10)&amp;INDEX(Tareas!$O$6:$O$205,MATCH(B$5&amp;"_"&amp;157,Tareas!$N$6:$N$205,0),1))</x:f>
      </x:c>
      <x:c r="C162" s="21" t="str">
        <x:f>IF(157&gt;C$4,"",INDEX(Tareas!$A$6:$A$205,MATCH(C$5&amp;"_"&amp;157,Tareas!$N$6:$N$205,0),1)&amp;" · "&amp;INDEX(Tareas!$D$6:$D$205,MATCH(C$5&amp;"_"&amp;157,Tareas!$N$6:$N$205,0),1)&amp;CHAR(10)&amp;INDEX(Tareas!$C$6:$C$205,MATCH(C$5&amp;"_"&amp;157,Tareas!$N$6:$N$205,0),1)&amp;CHAR(10)&amp;INDEX(Tareas!$E$6:$E$205,MATCH(C$5&amp;"_"&amp;157,Tareas!$N$6:$N$205,0),1)&amp;CHAR(10)&amp;INDEX(Tareas!$O$6:$O$205,MATCH(C$5&amp;"_"&amp;157,Tareas!$N$6:$N$205,0),1))</x:f>
      </x:c>
      <x:c r="D162" s="21" t="str">
        <x:f>IF(157&gt;D$4,"",INDEX(Tareas!$A$6:$A$205,MATCH(D$5&amp;"_"&amp;157,Tareas!$N$6:$N$205,0),1)&amp;" · "&amp;INDEX(Tareas!$D$6:$D$205,MATCH(D$5&amp;"_"&amp;157,Tareas!$N$6:$N$205,0),1)&amp;CHAR(10)&amp;INDEX(Tareas!$C$6:$C$205,MATCH(D$5&amp;"_"&amp;157,Tareas!$N$6:$N$205,0),1)&amp;CHAR(10)&amp;INDEX(Tareas!$E$6:$E$205,MATCH(D$5&amp;"_"&amp;157,Tareas!$N$6:$N$205,0),1)&amp;CHAR(10)&amp;INDEX(Tareas!$O$6:$O$205,MATCH(D$5&amp;"_"&amp;157,Tareas!$N$6:$N$205,0),1))</x:f>
      </x:c>
      <x:c r="E162" s="21" t="str">
        <x:f>IF(157&gt;E$4,"",INDEX(Tareas!$A$6:$A$205,MATCH(E$5&amp;"_"&amp;157,Tareas!$N$6:$N$205,0),1)&amp;" · "&amp;INDEX(Tareas!$D$6:$D$205,MATCH(E$5&amp;"_"&amp;157,Tareas!$N$6:$N$205,0),1)&amp;CHAR(10)&amp;INDEX(Tareas!$C$6:$C$205,MATCH(E$5&amp;"_"&amp;157,Tareas!$N$6:$N$205,0),1)&amp;CHAR(10)&amp;INDEX(Tareas!$E$6:$E$205,MATCH(E$5&amp;"_"&amp;157,Tareas!$N$6:$N$205,0),1)&amp;CHAR(10)&amp;INDEX(Tareas!$O$6:$O$205,MATCH(E$5&amp;"_"&amp;157,Tareas!$N$6:$N$205,0),1))</x:f>
      </x:c>
      <x:c r="F162" s="21" t="str">
        <x:f>IF(157&gt;F$4,"",INDEX(Tareas!$A$6:$A$205,MATCH(F$5&amp;"_"&amp;157,Tareas!$N$6:$N$205,0),1)&amp;" · "&amp;INDEX(Tareas!$D$6:$D$205,MATCH(F$5&amp;"_"&amp;157,Tareas!$N$6:$N$205,0),1)&amp;CHAR(10)&amp;INDEX(Tareas!$C$6:$C$205,MATCH(F$5&amp;"_"&amp;157,Tareas!$N$6:$N$205,0),1)&amp;CHAR(10)&amp;INDEX(Tareas!$E$6:$E$205,MATCH(F$5&amp;"_"&amp;157,Tareas!$N$6:$N$205,0),1)&amp;CHAR(10)&amp;INDEX(Tareas!$O$6:$O$205,MATCH(F$5&amp;"_"&amp;157,Tareas!$N$6:$N$205,0),1))</x:f>
      </x:c>
    </x:row>
    <x:row r="163" ht="76" customHeight="1">
      <x:c r="A163" s="21" t="str">
        <x:f>IF(158&gt;A$4,"",INDEX(Tareas!$A$6:$A$205,MATCH(A$5&amp;"_"&amp;158,Tareas!$N$6:$N$205,0),1)&amp;" · "&amp;INDEX(Tareas!$D$6:$D$205,MATCH(A$5&amp;"_"&amp;158,Tareas!$N$6:$N$205,0),1)&amp;CHAR(10)&amp;INDEX(Tareas!$C$6:$C$205,MATCH(A$5&amp;"_"&amp;158,Tareas!$N$6:$N$205,0),1)&amp;CHAR(10)&amp;INDEX(Tareas!$E$6:$E$205,MATCH(A$5&amp;"_"&amp;158,Tareas!$N$6:$N$205,0),1)&amp;CHAR(10)&amp;INDEX(Tareas!$O$6:$O$205,MATCH(A$5&amp;"_"&amp;158,Tareas!$N$6:$N$205,0),1))</x:f>
      </x:c>
      <x:c r="B163" s="21" t="str">
        <x:f>IF(158&gt;B$4,"",INDEX(Tareas!$A$6:$A$205,MATCH(B$5&amp;"_"&amp;158,Tareas!$N$6:$N$205,0),1)&amp;" · "&amp;INDEX(Tareas!$D$6:$D$205,MATCH(B$5&amp;"_"&amp;158,Tareas!$N$6:$N$205,0),1)&amp;CHAR(10)&amp;INDEX(Tareas!$C$6:$C$205,MATCH(B$5&amp;"_"&amp;158,Tareas!$N$6:$N$205,0),1)&amp;CHAR(10)&amp;INDEX(Tareas!$E$6:$E$205,MATCH(B$5&amp;"_"&amp;158,Tareas!$N$6:$N$205,0),1)&amp;CHAR(10)&amp;INDEX(Tareas!$O$6:$O$205,MATCH(B$5&amp;"_"&amp;158,Tareas!$N$6:$N$205,0),1))</x:f>
      </x:c>
      <x:c r="C163" s="21" t="str">
        <x:f>IF(158&gt;C$4,"",INDEX(Tareas!$A$6:$A$205,MATCH(C$5&amp;"_"&amp;158,Tareas!$N$6:$N$205,0),1)&amp;" · "&amp;INDEX(Tareas!$D$6:$D$205,MATCH(C$5&amp;"_"&amp;158,Tareas!$N$6:$N$205,0),1)&amp;CHAR(10)&amp;INDEX(Tareas!$C$6:$C$205,MATCH(C$5&amp;"_"&amp;158,Tareas!$N$6:$N$205,0),1)&amp;CHAR(10)&amp;INDEX(Tareas!$E$6:$E$205,MATCH(C$5&amp;"_"&amp;158,Tareas!$N$6:$N$205,0),1)&amp;CHAR(10)&amp;INDEX(Tareas!$O$6:$O$205,MATCH(C$5&amp;"_"&amp;158,Tareas!$N$6:$N$205,0),1))</x:f>
      </x:c>
      <x:c r="D163" s="21" t="str">
        <x:f>IF(158&gt;D$4,"",INDEX(Tareas!$A$6:$A$205,MATCH(D$5&amp;"_"&amp;158,Tareas!$N$6:$N$205,0),1)&amp;" · "&amp;INDEX(Tareas!$D$6:$D$205,MATCH(D$5&amp;"_"&amp;158,Tareas!$N$6:$N$205,0),1)&amp;CHAR(10)&amp;INDEX(Tareas!$C$6:$C$205,MATCH(D$5&amp;"_"&amp;158,Tareas!$N$6:$N$205,0),1)&amp;CHAR(10)&amp;INDEX(Tareas!$E$6:$E$205,MATCH(D$5&amp;"_"&amp;158,Tareas!$N$6:$N$205,0),1)&amp;CHAR(10)&amp;INDEX(Tareas!$O$6:$O$205,MATCH(D$5&amp;"_"&amp;158,Tareas!$N$6:$N$205,0),1))</x:f>
      </x:c>
      <x:c r="E163" s="21" t="str">
        <x:f>IF(158&gt;E$4,"",INDEX(Tareas!$A$6:$A$205,MATCH(E$5&amp;"_"&amp;158,Tareas!$N$6:$N$205,0),1)&amp;" · "&amp;INDEX(Tareas!$D$6:$D$205,MATCH(E$5&amp;"_"&amp;158,Tareas!$N$6:$N$205,0),1)&amp;CHAR(10)&amp;INDEX(Tareas!$C$6:$C$205,MATCH(E$5&amp;"_"&amp;158,Tareas!$N$6:$N$205,0),1)&amp;CHAR(10)&amp;INDEX(Tareas!$E$6:$E$205,MATCH(E$5&amp;"_"&amp;158,Tareas!$N$6:$N$205,0),1)&amp;CHAR(10)&amp;INDEX(Tareas!$O$6:$O$205,MATCH(E$5&amp;"_"&amp;158,Tareas!$N$6:$N$205,0),1))</x:f>
      </x:c>
      <x:c r="F163" s="21" t="str">
        <x:f>IF(158&gt;F$4,"",INDEX(Tareas!$A$6:$A$205,MATCH(F$5&amp;"_"&amp;158,Tareas!$N$6:$N$205,0),1)&amp;" · "&amp;INDEX(Tareas!$D$6:$D$205,MATCH(F$5&amp;"_"&amp;158,Tareas!$N$6:$N$205,0),1)&amp;CHAR(10)&amp;INDEX(Tareas!$C$6:$C$205,MATCH(F$5&amp;"_"&amp;158,Tareas!$N$6:$N$205,0),1)&amp;CHAR(10)&amp;INDEX(Tareas!$E$6:$E$205,MATCH(F$5&amp;"_"&amp;158,Tareas!$N$6:$N$205,0),1)&amp;CHAR(10)&amp;INDEX(Tareas!$O$6:$O$205,MATCH(F$5&amp;"_"&amp;158,Tareas!$N$6:$N$205,0),1))</x:f>
      </x:c>
    </x:row>
    <x:row r="164" ht="76" customHeight="1">
      <x:c r="A164" s="21" t="str">
        <x:f>IF(159&gt;A$4,"",INDEX(Tareas!$A$6:$A$205,MATCH(A$5&amp;"_"&amp;159,Tareas!$N$6:$N$205,0),1)&amp;" · "&amp;INDEX(Tareas!$D$6:$D$205,MATCH(A$5&amp;"_"&amp;159,Tareas!$N$6:$N$205,0),1)&amp;CHAR(10)&amp;INDEX(Tareas!$C$6:$C$205,MATCH(A$5&amp;"_"&amp;159,Tareas!$N$6:$N$205,0),1)&amp;CHAR(10)&amp;INDEX(Tareas!$E$6:$E$205,MATCH(A$5&amp;"_"&amp;159,Tareas!$N$6:$N$205,0),1)&amp;CHAR(10)&amp;INDEX(Tareas!$O$6:$O$205,MATCH(A$5&amp;"_"&amp;159,Tareas!$N$6:$N$205,0),1))</x:f>
      </x:c>
      <x:c r="B164" s="21" t="str">
        <x:f>IF(159&gt;B$4,"",INDEX(Tareas!$A$6:$A$205,MATCH(B$5&amp;"_"&amp;159,Tareas!$N$6:$N$205,0),1)&amp;" · "&amp;INDEX(Tareas!$D$6:$D$205,MATCH(B$5&amp;"_"&amp;159,Tareas!$N$6:$N$205,0),1)&amp;CHAR(10)&amp;INDEX(Tareas!$C$6:$C$205,MATCH(B$5&amp;"_"&amp;159,Tareas!$N$6:$N$205,0),1)&amp;CHAR(10)&amp;INDEX(Tareas!$E$6:$E$205,MATCH(B$5&amp;"_"&amp;159,Tareas!$N$6:$N$205,0),1)&amp;CHAR(10)&amp;INDEX(Tareas!$O$6:$O$205,MATCH(B$5&amp;"_"&amp;159,Tareas!$N$6:$N$205,0),1))</x:f>
      </x:c>
      <x:c r="C164" s="21" t="str">
        <x:f>IF(159&gt;C$4,"",INDEX(Tareas!$A$6:$A$205,MATCH(C$5&amp;"_"&amp;159,Tareas!$N$6:$N$205,0),1)&amp;" · "&amp;INDEX(Tareas!$D$6:$D$205,MATCH(C$5&amp;"_"&amp;159,Tareas!$N$6:$N$205,0),1)&amp;CHAR(10)&amp;INDEX(Tareas!$C$6:$C$205,MATCH(C$5&amp;"_"&amp;159,Tareas!$N$6:$N$205,0),1)&amp;CHAR(10)&amp;INDEX(Tareas!$E$6:$E$205,MATCH(C$5&amp;"_"&amp;159,Tareas!$N$6:$N$205,0),1)&amp;CHAR(10)&amp;INDEX(Tareas!$O$6:$O$205,MATCH(C$5&amp;"_"&amp;159,Tareas!$N$6:$N$205,0),1))</x:f>
      </x:c>
      <x:c r="D164" s="21" t="str">
        <x:f>IF(159&gt;D$4,"",INDEX(Tareas!$A$6:$A$205,MATCH(D$5&amp;"_"&amp;159,Tareas!$N$6:$N$205,0),1)&amp;" · "&amp;INDEX(Tareas!$D$6:$D$205,MATCH(D$5&amp;"_"&amp;159,Tareas!$N$6:$N$205,0),1)&amp;CHAR(10)&amp;INDEX(Tareas!$C$6:$C$205,MATCH(D$5&amp;"_"&amp;159,Tareas!$N$6:$N$205,0),1)&amp;CHAR(10)&amp;INDEX(Tareas!$E$6:$E$205,MATCH(D$5&amp;"_"&amp;159,Tareas!$N$6:$N$205,0),1)&amp;CHAR(10)&amp;INDEX(Tareas!$O$6:$O$205,MATCH(D$5&amp;"_"&amp;159,Tareas!$N$6:$N$205,0),1))</x:f>
      </x:c>
      <x:c r="E164" s="21" t="str">
        <x:f>IF(159&gt;E$4,"",INDEX(Tareas!$A$6:$A$205,MATCH(E$5&amp;"_"&amp;159,Tareas!$N$6:$N$205,0),1)&amp;" · "&amp;INDEX(Tareas!$D$6:$D$205,MATCH(E$5&amp;"_"&amp;159,Tareas!$N$6:$N$205,0),1)&amp;CHAR(10)&amp;INDEX(Tareas!$C$6:$C$205,MATCH(E$5&amp;"_"&amp;159,Tareas!$N$6:$N$205,0),1)&amp;CHAR(10)&amp;INDEX(Tareas!$E$6:$E$205,MATCH(E$5&amp;"_"&amp;159,Tareas!$N$6:$N$205,0),1)&amp;CHAR(10)&amp;INDEX(Tareas!$O$6:$O$205,MATCH(E$5&amp;"_"&amp;159,Tareas!$N$6:$N$205,0),1))</x:f>
      </x:c>
      <x:c r="F164" s="21" t="str">
        <x:f>IF(159&gt;F$4,"",INDEX(Tareas!$A$6:$A$205,MATCH(F$5&amp;"_"&amp;159,Tareas!$N$6:$N$205,0),1)&amp;" · "&amp;INDEX(Tareas!$D$6:$D$205,MATCH(F$5&amp;"_"&amp;159,Tareas!$N$6:$N$205,0),1)&amp;CHAR(10)&amp;INDEX(Tareas!$C$6:$C$205,MATCH(F$5&amp;"_"&amp;159,Tareas!$N$6:$N$205,0),1)&amp;CHAR(10)&amp;INDEX(Tareas!$E$6:$E$205,MATCH(F$5&amp;"_"&amp;159,Tareas!$N$6:$N$205,0),1)&amp;CHAR(10)&amp;INDEX(Tareas!$O$6:$O$205,MATCH(F$5&amp;"_"&amp;159,Tareas!$N$6:$N$205,0),1))</x:f>
      </x:c>
    </x:row>
    <x:row r="165" ht="76" customHeight="1">
      <x:c r="A165" s="21" t="str">
        <x:f>IF(160&gt;A$4,"",INDEX(Tareas!$A$6:$A$205,MATCH(A$5&amp;"_"&amp;160,Tareas!$N$6:$N$205,0),1)&amp;" · "&amp;INDEX(Tareas!$D$6:$D$205,MATCH(A$5&amp;"_"&amp;160,Tareas!$N$6:$N$205,0),1)&amp;CHAR(10)&amp;INDEX(Tareas!$C$6:$C$205,MATCH(A$5&amp;"_"&amp;160,Tareas!$N$6:$N$205,0),1)&amp;CHAR(10)&amp;INDEX(Tareas!$E$6:$E$205,MATCH(A$5&amp;"_"&amp;160,Tareas!$N$6:$N$205,0),1)&amp;CHAR(10)&amp;INDEX(Tareas!$O$6:$O$205,MATCH(A$5&amp;"_"&amp;160,Tareas!$N$6:$N$205,0),1))</x:f>
      </x:c>
      <x:c r="B165" s="21" t="str">
        <x:f>IF(160&gt;B$4,"",INDEX(Tareas!$A$6:$A$205,MATCH(B$5&amp;"_"&amp;160,Tareas!$N$6:$N$205,0),1)&amp;" · "&amp;INDEX(Tareas!$D$6:$D$205,MATCH(B$5&amp;"_"&amp;160,Tareas!$N$6:$N$205,0),1)&amp;CHAR(10)&amp;INDEX(Tareas!$C$6:$C$205,MATCH(B$5&amp;"_"&amp;160,Tareas!$N$6:$N$205,0),1)&amp;CHAR(10)&amp;INDEX(Tareas!$E$6:$E$205,MATCH(B$5&amp;"_"&amp;160,Tareas!$N$6:$N$205,0),1)&amp;CHAR(10)&amp;INDEX(Tareas!$O$6:$O$205,MATCH(B$5&amp;"_"&amp;160,Tareas!$N$6:$N$205,0),1))</x:f>
      </x:c>
      <x:c r="C165" s="21" t="str">
        <x:f>IF(160&gt;C$4,"",INDEX(Tareas!$A$6:$A$205,MATCH(C$5&amp;"_"&amp;160,Tareas!$N$6:$N$205,0),1)&amp;" · "&amp;INDEX(Tareas!$D$6:$D$205,MATCH(C$5&amp;"_"&amp;160,Tareas!$N$6:$N$205,0),1)&amp;CHAR(10)&amp;INDEX(Tareas!$C$6:$C$205,MATCH(C$5&amp;"_"&amp;160,Tareas!$N$6:$N$205,0),1)&amp;CHAR(10)&amp;INDEX(Tareas!$E$6:$E$205,MATCH(C$5&amp;"_"&amp;160,Tareas!$N$6:$N$205,0),1)&amp;CHAR(10)&amp;INDEX(Tareas!$O$6:$O$205,MATCH(C$5&amp;"_"&amp;160,Tareas!$N$6:$N$205,0),1))</x:f>
      </x:c>
      <x:c r="D165" s="21" t="str">
        <x:f>IF(160&gt;D$4,"",INDEX(Tareas!$A$6:$A$205,MATCH(D$5&amp;"_"&amp;160,Tareas!$N$6:$N$205,0),1)&amp;" · "&amp;INDEX(Tareas!$D$6:$D$205,MATCH(D$5&amp;"_"&amp;160,Tareas!$N$6:$N$205,0),1)&amp;CHAR(10)&amp;INDEX(Tareas!$C$6:$C$205,MATCH(D$5&amp;"_"&amp;160,Tareas!$N$6:$N$205,0),1)&amp;CHAR(10)&amp;INDEX(Tareas!$E$6:$E$205,MATCH(D$5&amp;"_"&amp;160,Tareas!$N$6:$N$205,0),1)&amp;CHAR(10)&amp;INDEX(Tareas!$O$6:$O$205,MATCH(D$5&amp;"_"&amp;160,Tareas!$N$6:$N$205,0),1))</x:f>
      </x:c>
      <x:c r="E165" s="21" t="str">
        <x:f>IF(160&gt;E$4,"",INDEX(Tareas!$A$6:$A$205,MATCH(E$5&amp;"_"&amp;160,Tareas!$N$6:$N$205,0),1)&amp;" · "&amp;INDEX(Tareas!$D$6:$D$205,MATCH(E$5&amp;"_"&amp;160,Tareas!$N$6:$N$205,0),1)&amp;CHAR(10)&amp;INDEX(Tareas!$C$6:$C$205,MATCH(E$5&amp;"_"&amp;160,Tareas!$N$6:$N$205,0),1)&amp;CHAR(10)&amp;INDEX(Tareas!$E$6:$E$205,MATCH(E$5&amp;"_"&amp;160,Tareas!$N$6:$N$205,0),1)&amp;CHAR(10)&amp;INDEX(Tareas!$O$6:$O$205,MATCH(E$5&amp;"_"&amp;160,Tareas!$N$6:$N$205,0),1))</x:f>
      </x:c>
      <x:c r="F165" s="21" t="str">
        <x:f>IF(160&gt;F$4,"",INDEX(Tareas!$A$6:$A$205,MATCH(F$5&amp;"_"&amp;160,Tareas!$N$6:$N$205,0),1)&amp;" · "&amp;INDEX(Tareas!$D$6:$D$205,MATCH(F$5&amp;"_"&amp;160,Tareas!$N$6:$N$205,0),1)&amp;CHAR(10)&amp;INDEX(Tareas!$C$6:$C$205,MATCH(F$5&amp;"_"&amp;160,Tareas!$N$6:$N$205,0),1)&amp;CHAR(10)&amp;INDEX(Tareas!$E$6:$E$205,MATCH(F$5&amp;"_"&amp;160,Tareas!$N$6:$N$205,0),1)&amp;CHAR(10)&amp;INDEX(Tareas!$O$6:$O$205,MATCH(F$5&amp;"_"&amp;160,Tareas!$N$6:$N$205,0),1))</x:f>
      </x:c>
    </x:row>
    <x:row r="166" ht="76" customHeight="1">
      <x:c r="A166" s="21" t="str">
        <x:f>IF(161&gt;A$4,"",INDEX(Tareas!$A$6:$A$205,MATCH(A$5&amp;"_"&amp;161,Tareas!$N$6:$N$205,0),1)&amp;" · "&amp;INDEX(Tareas!$D$6:$D$205,MATCH(A$5&amp;"_"&amp;161,Tareas!$N$6:$N$205,0),1)&amp;CHAR(10)&amp;INDEX(Tareas!$C$6:$C$205,MATCH(A$5&amp;"_"&amp;161,Tareas!$N$6:$N$205,0),1)&amp;CHAR(10)&amp;INDEX(Tareas!$E$6:$E$205,MATCH(A$5&amp;"_"&amp;161,Tareas!$N$6:$N$205,0),1)&amp;CHAR(10)&amp;INDEX(Tareas!$O$6:$O$205,MATCH(A$5&amp;"_"&amp;161,Tareas!$N$6:$N$205,0),1))</x:f>
      </x:c>
      <x:c r="B166" s="21" t="str">
        <x:f>IF(161&gt;B$4,"",INDEX(Tareas!$A$6:$A$205,MATCH(B$5&amp;"_"&amp;161,Tareas!$N$6:$N$205,0),1)&amp;" · "&amp;INDEX(Tareas!$D$6:$D$205,MATCH(B$5&amp;"_"&amp;161,Tareas!$N$6:$N$205,0),1)&amp;CHAR(10)&amp;INDEX(Tareas!$C$6:$C$205,MATCH(B$5&amp;"_"&amp;161,Tareas!$N$6:$N$205,0),1)&amp;CHAR(10)&amp;INDEX(Tareas!$E$6:$E$205,MATCH(B$5&amp;"_"&amp;161,Tareas!$N$6:$N$205,0),1)&amp;CHAR(10)&amp;INDEX(Tareas!$O$6:$O$205,MATCH(B$5&amp;"_"&amp;161,Tareas!$N$6:$N$205,0),1))</x:f>
      </x:c>
      <x:c r="C166" s="21" t="str">
        <x:f>IF(161&gt;C$4,"",INDEX(Tareas!$A$6:$A$205,MATCH(C$5&amp;"_"&amp;161,Tareas!$N$6:$N$205,0),1)&amp;" · "&amp;INDEX(Tareas!$D$6:$D$205,MATCH(C$5&amp;"_"&amp;161,Tareas!$N$6:$N$205,0),1)&amp;CHAR(10)&amp;INDEX(Tareas!$C$6:$C$205,MATCH(C$5&amp;"_"&amp;161,Tareas!$N$6:$N$205,0),1)&amp;CHAR(10)&amp;INDEX(Tareas!$E$6:$E$205,MATCH(C$5&amp;"_"&amp;161,Tareas!$N$6:$N$205,0),1)&amp;CHAR(10)&amp;INDEX(Tareas!$O$6:$O$205,MATCH(C$5&amp;"_"&amp;161,Tareas!$N$6:$N$205,0),1))</x:f>
      </x:c>
      <x:c r="D166" s="21" t="str">
        <x:f>IF(161&gt;D$4,"",INDEX(Tareas!$A$6:$A$205,MATCH(D$5&amp;"_"&amp;161,Tareas!$N$6:$N$205,0),1)&amp;" · "&amp;INDEX(Tareas!$D$6:$D$205,MATCH(D$5&amp;"_"&amp;161,Tareas!$N$6:$N$205,0),1)&amp;CHAR(10)&amp;INDEX(Tareas!$C$6:$C$205,MATCH(D$5&amp;"_"&amp;161,Tareas!$N$6:$N$205,0),1)&amp;CHAR(10)&amp;INDEX(Tareas!$E$6:$E$205,MATCH(D$5&amp;"_"&amp;161,Tareas!$N$6:$N$205,0),1)&amp;CHAR(10)&amp;INDEX(Tareas!$O$6:$O$205,MATCH(D$5&amp;"_"&amp;161,Tareas!$N$6:$N$205,0),1))</x:f>
      </x:c>
      <x:c r="E166" s="21" t="str">
        <x:f>IF(161&gt;E$4,"",INDEX(Tareas!$A$6:$A$205,MATCH(E$5&amp;"_"&amp;161,Tareas!$N$6:$N$205,0),1)&amp;" · "&amp;INDEX(Tareas!$D$6:$D$205,MATCH(E$5&amp;"_"&amp;161,Tareas!$N$6:$N$205,0),1)&amp;CHAR(10)&amp;INDEX(Tareas!$C$6:$C$205,MATCH(E$5&amp;"_"&amp;161,Tareas!$N$6:$N$205,0),1)&amp;CHAR(10)&amp;INDEX(Tareas!$E$6:$E$205,MATCH(E$5&amp;"_"&amp;161,Tareas!$N$6:$N$205,0),1)&amp;CHAR(10)&amp;INDEX(Tareas!$O$6:$O$205,MATCH(E$5&amp;"_"&amp;161,Tareas!$N$6:$N$205,0),1))</x:f>
      </x:c>
      <x:c r="F166" s="21" t="str">
        <x:f>IF(161&gt;F$4,"",INDEX(Tareas!$A$6:$A$205,MATCH(F$5&amp;"_"&amp;161,Tareas!$N$6:$N$205,0),1)&amp;" · "&amp;INDEX(Tareas!$D$6:$D$205,MATCH(F$5&amp;"_"&amp;161,Tareas!$N$6:$N$205,0),1)&amp;CHAR(10)&amp;INDEX(Tareas!$C$6:$C$205,MATCH(F$5&amp;"_"&amp;161,Tareas!$N$6:$N$205,0),1)&amp;CHAR(10)&amp;INDEX(Tareas!$E$6:$E$205,MATCH(F$5&amp;"_"&amp;161,Tareas!$N$6:$N$205,0),1)&amp;CHAR(10)&amp;INDEX(Tareas!$O$6:$O$205,MATCH(F$5&amp;"_"&amp;161,Tareas!$N$6:$N$205,0),1))</x:f>
      </x:c>
    </x:row>
    <x:row r="167" ht="76" customHeight="1">
      <x:c r="A167" s="21" t="str">
        <x:f>IF(162&gt;A$4,"",INDEX(Tareas!$A$6:$A$205,MATCH(A$5&amp;"_"&amp;162,Tareas!$N$6:$N$205,0),1)&amp;" · "&amp;INDEX(Tareas!$D$6:$D$205,MATCH(A$5&amp;"_"&amp;162,Tareas!$N$6:$N$205,0),1)&amp;CHAR(10)&amp;INDEX(Tareas!$C$6:$C$205,MATCH(A$5&amp;"_"&amp;162,Tareas!$N$6:$N$205,0),1)&amp;CHAR(10)&amp;INDEX(Tareas!$E$6:$E$205,MATCH(A$5&amp;"_"&amp;162,Tareas!$N$6:$N$205,0),1)&amp;CHAR(10)&amp;INDEX(Tareas!$O$6:$O$205,MATCH(A$5&amp;"_"&amp;162,Tareas!$N$6:$N$205,0),1))</x:f>
      </x:c>
      <x:c r="B167" s="21" t="str">
        <x:f>IF(162&gt;B$4,"",INDEX(Tareas!$A$6:$A$205,MATCH(B$5&amp;"_"&amp;162,Tareas!$N$6:$N$205,0),1)&amp;" · "&amp;INDEX(Tareas!$D$6:$D$205,MATCH(B$5&amp;"_"&amp;162,Tareas!$N$6:$N$205,0),1)&amp;CHAR(10)&amp;INDEX(Tareas!$C$6:$C$205,MATCH(B$5&amp;"_"&amp;162,Tareas!$N$6:$N$205,0),1)&amp;CHAR(10)&amp;INDEX(Tareas!$E$6:$E$205,MATCH(B$5&amp;"_"&amp;162,Tareas!$N$6:$N$205,0),1)&amp;CHAR(10)&amp;INDEX(Tareas!$O$6:$O$205,MATCH(B$5&amp;"_"&amp;162,Tareas!$N$6:$N$205,0),1))</x:f>
      </x:c>
      <x:c r="C167" s="21" t="str">
        <x:f>IF(162&gt;C$4,"",INDEX(Tareas!$A$6:$A$205,MATCH(C$5&amp;"_"&amp;162,Tareas!$N$6:$N$205,0),1)&amp;" · "&amp;INDEX(Tareas!$D$6:$D$205,MATCH(C$5&amp;"_"&amp;162,Tareas!$N$6:$N$205,0),1)&amp;CHAR(10)&amp;INDEX(Tareas!$C$6:$C$205,MATCH(C$5&amp;"_"&amp;162,Tareas!$N$6:$N$205,0),1)&amp;CHAR(10)&amp;INDEX(Tareas!$E$6:$E$205,MATCH(C$5&amp;"_"&amp;162,Tareas!$N$6:$N$205,0),1)&amp;CHAR(10)&amp;INDEX(Tareas!$O$6:$O$205,MATCH(C$5&amp;"_"&amp;162,Tareas!$N$6:$N$205,0),1))</x:f>
      </x:c>
      <x:c r="D167" s="21" t="str">
        <x:f>IF(162&gt;D$4,"",INDEX(Tareas!$A$6:$A$205,MATCH(D$5&amp;"_"&amp;162,Tareas!$N$6:$N$205,0),1)&amp;" · "&amp;INDEX(Tareas!$D$6:$D$205,MATCH(D$5&amp;"_"&amp;162,Tareas!$N$6:$N$205,0),1)&amp;CHAR(10)&amp;INDEX(Tareas!$C$6:$C$205,MATCH(D$5&amp;"_"&amp;162,Tareas!$N$6:$N$205,0),1)&amp;CHAR(10)&amp;INDEX(Tareas!$E$6:$E$205,MATCH(D$5&amp;"_"&amp;162,Tareas!$N$6:$N$205,0),1)&amp;CHAR(10)&amp;INDEX(Tareas!$O$6:$O$205,MATCH(D$5&amp;"_"&amp;162,Tareas!$N$6:$N$205,0),1))</x:f>
      </x:c>
      <x:c r="E167" s="21" t="str">
        <x:f>IF(162&gt;E$4,"",INDEX(Tareas!$A$6:$A$205,MATCH(E$5&amp;"_"&amp;162,Tareas!$N$6:$N$205,0),1)&amp;" · "&amp;INDEX(Tareas!$D$6:$D$205,MATCH(E$5&amp;"_"&amp;162,Tareas!$N$6:$N$205,0),1)&amp;CHAR(10)&amp;INDEX(Tareas!$C$6:$C$205,MATCH(E$5&amp;"_"&amp;162,Tareas!$N$6:$N$205,0),1)&amp;CHAR(10)&amp;INDEX(Tareas!$E$6:$E$205,MATCH(E$5&amp;"_"&amp;162,Tareas!$N$6:$N$205,0),1)&amp;CHAR(10)&amp;INDEX(Tareas!$O$6:$O$205,MATCH(E$5&amp;"_"&amp;162,Tareas!$N$6:$N$205,0),1))</x:f>
      </x:c>
      <x:c r="F167" s="21" t="str">
        <x:f>IF(162&gt;F$4,"",INDEX(Tareas!$A$6:$A$205,MATCH(F$5&amp;"_"&amp;162,Tareas!$N$6:$N$205,0),1)&amp;" · "&amp;INDEX(Tareas!$D$6:$D$205,MATCH(F$5&amp;"_"&amp;162,Tareas!$N$6:$N$205,0),1)&amp;CHAR(10)&amp;INDEX(Tareas!$C$6:$C$205,MATCH(F$5&amp;"_"&amp;162,Tareas!$N$6:$N$205,0),1)&amp;CHAR(10)&amp;INDEX(Tareas!$E$6:$E$205,MATCH(F$5&amp;"_"&amp;162,Tareas!$N$6:$N$205,0),1)&amp;CHAR(10)&amp;INDEX(Tareas!$O$6:$O$205,MATCH(F$5&amp;"_"&amp;162,Tareas!$N$6:$N$205,0),1))</x:f>
      </x:c>
    </x:row>
    <x:row r="168" ht="76" customHeight="1">
      <x:c r="A168" s="21" t="str">
        <x:f>IF(163&gt;A$4,"",INDEX(Tareas!$A$6:$A$205,MATCH(A$5&amp;"_"&amp;163,Tareas!$N$6:$N$205,0),1)&amp;" · "&amp;INDEX(Tareas!$D$6:$D$205,MATCH(A$5&amp;"_"&amp;163,Tareas!$N$6:$N$205,0),1)&amp;CHAR(10)&amp;INDEX(Tareas!$C$6:$C$205,MATCH(A$5&amp;"_"&amp;163,Tareas!$N$6:$N$205,0),1)&amp;CHAR(10)&amp;INDEX(Tareas!$E$6:$E$205,MATCH(A$5&amp;"_"&amp;163,Tareas!$N$6:$N$205,0),1)&amp;CHAR(10)&amp;INDEX(Tareas!$O$6:$O$205,MATCH(A$5&amp;"_"&amp;163,Tareas!$N$6:$N$205,0),1))</x:f>
      </x:c>
      <x:c r="B168" s="21" t="str">
        <x:f>IF(163&gt;B$4,"",INDEX(Tareas!$A$6:$A$205,MATCH(B$5&amp;"_"&amp;163,Tareas!$N$6:$N$205,0),1)&amp;" · "&amp;INDEX(Tareas!$D$6:$D$205,MATCH(B$5&amp;"_"&amp;163,Tareas!$N$6:$N$205,0),1)&amp;CHAR(10)&amp;INDEX(Tareas!$C$6:$C$205,MATCH(B$5&amp;"_"&amp;163,Tareas!$N$6:$N$205,0),1)&amp;CHAR(10)&amp;INDEX(Tareas!$E$6:$E$205,MATCH(B$5&amp;"_"&amp;163,Tareas!$N$6:$N$205,0),1)&amp;CHAR(10)&amp;INDEX(Tareas!$O$6:$O$205,MATCH(B$5&amp;"_"&amp;163,Tareas!$N$6:$N$205,0),1))</x:f>
      </x:c>
      <x:c r="C168" s="21" t="str">
        <x:f>IF(163&gt;C$4,"",INDEX(Tareas!$A$6:$A$205,MATCH(C$5&amp;"_"&amp;163,Tareas!$N$6:$N$205,0),1)&amp;" · "&amp;INDEX(Tareas!$D$6:$D$205,MATCH(C$5&amp;"_"&amp;163,Tareas!$N$6:$N$205,0),1)&amp;CHAR(10)&amp;INDEX(Tareas!$C$6:$C$205,MATCH(C$5&amp;"_"&amp;163,Tareas!$N$6:$N$205,0),1)&amp;CHAR(10)&amp;INDEX(Tareas!$E$6:$E$205,MATCH(C$5&amp;"_"&amp;163,Tareas!$N$6:$N$205,0),1)&amp;CHAR(10)&amp;INDEX(Tareas!$O$6:$O$205,MATCH(C$5&amp;"_"&amp;163,Tareas!$N$6:$N$205,0),1))</x:f>
      </x:c>
      <x:c r="D168" s="21" t="str">
        <x:f>IF(163&gt;D$4,"",INDEX(Tareas!$A$6:$A$205,MATCH(D$5&amp;"_"&amp;163,Tareas!$N$6:$N$205,0),1)&amp;" · "&amp;INDEX(Tareas!$D$6:$D$205,MATCH(D$5&amp;"_"&amp;163,Tareas!$N$6:$N$205,0),1)&amp;CHAR(10)&amp;INDEX(Tareas!$C$6:$C$205,MATCH(D$5&amp;"_"&amp;163,Tareas!$N$6:$N$205,0),1)&amp;CHAR(10)&amp;INDEX(Tareas!$E$6:$E$205,MATCH(D$5&amp;"_"&amp;163,Tareas!$N$6:$N$205,0),1)&amp;CHAR(10)&amp;INDEX(Tareas!$O$6:$O$205,MATCH(D$5&amp;"_"&amp;163,Tareas!$N$6:$N$205,0),1))</x:f>
      </x:c>
      <x:c r="E168" s="21" t="str">
        <x:f>IF(163&gt;E$4,"",INDEX(Tareas!$A$6:$A$205,MATCH(E$5&amp;"_"&amp;163,Tareas!$N$6:$N$205,0),1)&amp;" · "&amp;INDEX(Tareas!$D$6:$D$205,MATCH(E$5&amp;"_"&amp;163,Tareas!$N$6:$N$205,0),1)&amp;CHAR(10)&amp;INDEX(Tareas!$C$6:$C$205,MATCH(E$5&amp;"_"&amp;163,Tareas!$N$6:$N$205,0),1)&amp;CHAR(10)&amp;INDEX(Tareas!$E$6:$E$205,MATCH(E$5&amp;"_"&amp;163,Tareas!$N$6:$N$205,0),1)&amp;CHAR(10)&amp;INDEX(Tareas!$O$6:$O$205,MATCH(E$5&amp;"_"&amp;163,Tareas!$N$6:$N$205,0),1))</x:f>
      </x:c>
      <x:c r="F168" s="21" t="str">
        <x:f>IF(163&gt;F$4,"",INDEX(Tareas!$A$6:$A$205,MATCH(F$5&amp;"_"&amp;163,Tareas!$N$6:$N$205,0),1)&amp;" · "&amp;INDEX(Tareas!$D$6:$D$205,MATCH(F$5&amp;"_"&amp;163,Tareas!$N$6:$N$205,0),1)&amp;CHAR(10)&amp;INDEX(Tareas!$C$6:$C$205,MATCH(F$5&amp;"_"&amp;163,Tareas!$N$6:$N$205,0),1)&amp;CHAR(10)&amp;INDEX(Tareas!$E$6:$E$205,MATCH(F$5&amp;"_"&amp;163,Tareas!$N$6:$N$205,0),1)&amp;CHAR(10)&amp;INDEX(Tareas!$O$6:$O$205,MATCH(F$5&amp;"_"&amp;163,Tareas!$N$6:$N$205,0),1))</x:f>
      </x:c>
    </x:row>
    <x:row r="169" ht="76" customHeight="1">
      <x:c r="A169" s="21" t="str">
        <x:f>IF(164&gt;A$4,"",INDEX(Tareas!$A$6:$A$205,MATCH(A$5&amp;"_"&amp;164,Tareas!$N$6:$N$205,0),1)&amp;" · "&amp;INDEX(Tareas!$D$6:$D$205,MATCH(A$5&amp;"_"&amp;164,Tareas!$N$6:$N$205,0),1)&amp;CHAR(10)&amp;INDEX(Tareas!$C$6:$C$205,MATCH(A$5&amp;"_"&amp;164,Tareas!$N$6:$N$205,0),1)&amp;CHAR(10)&amp;INDEX(Tareas!$E$6:$E$205,MATCH(A$5&amp;"_"&amp;164,Tareas!$N$6:$N$205,0),1)&amp;CHAR(10)&amp;INDEX(Tareas!$O$6:$O$205,MATCH(A$5&amp;"_"&amp;164,Tareas!$N$6:$N$205,0),1))</x:f>
      </x:c>
      <x:c r="B169" s="21" t="str">
        <x:f>IF(164&gt;B$4,"",INDEX(Tareas!$A$6:$A$205,MATCH(B$5&amp;"_"&amp;164,Tareas!$N$6:$N$205,0),1)&amp;" · "&amp;INDEX(Tareas!$D$6:$D$205,MATCH(B$5&amp;"_"&amp;164,Tareas!$N$6:$N$205,0),1)&amp;CHAR(10)&amp;INDEX(Tareas!$C$6:$C$205,MATCH(B$5&amp;"_"&amp;164,Tareas!$N$6:$N$205,0),1)&amp;CHAR(10)&amp;INDEX(Tareas!$E$6:$E$205,MATCH(B$5&amp;"_"&amp;164,Tareas!$N$6:$N$205,0),1)&amp;CHAR(10)&amp;INDEX(Tareas!$O$6:$O$205,MATCH(B$5&amp;"_"&amp;164,Tareas!$N$6:$N$205,0),1))</x:f>
      </x:c>
      <x:c r="C169" s="21" t="str">
        <x:f>IF(164&gt;C$4,"",INDEX(Tareas!$A$6:$A$205,MATCH(C$5&amp;"_"&amp;164,Tareas!$N$6:$N$205,0),1)&amp;" · "&amp;INDEX(Tareas!$D$6:$D$205,MATCH(C$5&amp;"_"&amp;164,Tareas!$N$6:$N$205,0),1)&amp;CHAR(10)&amp;INDEX(Tareas!$C$6:$C$205,MATCH(C$5&amp;"_"&amp;164,Tareas!$N$6:$N$205,0),1)&amp;CHAR(10)&amp;INDEX(Tareas!$E$6:$E$205,MATCH(C$5&amp;"_"&amp;164,Tareas!$N$6:$N$205,0),1)&amp;CHAR(10)&amp;INDEX(Tareas!$O$6:$O$205,MATCH(C$5&amp;"_"&amp;164,Tareas!$N$6:$N$205,0),1))</x:f>
      </x:c>
      <x:c r="D169" s="21" t="str">
        <x:f>IF(164&gt;D$4,"",INDEX(Tareas!$A$6:$A$205,MATCH(D$5&amp;"_"&amp;164,Tareas!$N$6:$N$205,0),1)&amp;" · "&amp;INDEX(Tareas!$D$6:$D$205,MATCH(D$5&amp;"_"&amp;164,Tareas!$N$6:$N$205,0),1)&amp;CHAR(10)&amp;INDEX(Tareas!$C$6:$C$205,MATCH(D$5&amp;"_"&amp;164,Tareas!$N$6:$N$205,0),1)&amp;CHAR(10)&amp;INDEX(Tareas!$E$6:$E$205,MATCH(D$5&amp;"_"&amp;164,Tareas!$N$6:$N$205,0),1)&amp;CHAR(10)&amp;INDEX(Tareas!$O$6:$O$205,MATCH(D$5&amp;"_"&amp;164,Tareas!$N$6:$N$205,0),1))</x:f>
      </x:c>
      <x:c r="E169" s="21" t="str">
        <x:f>IF(164&gt;E$4,"",INDEX(Tareas!$A$6:$A$205,MATCH(E$5&amp;"_"&amp;164,Tareas!$N$6:$N$205,0),1)&amp;" · "&amp;INDEX(Tareas!$D$6:$D$205,MATCH(E$5&amp;"_"&amp;164,Tareas!$N$6:$N$205,0),1)&amp;CHAR(10)&amp;INDEX(Tareas!$C$6:$C$205,MATCH(E$5&amp;"_"&amp;164,Tareas!$N$6:$N$205,0),1)&amp;CHAR(10)&amp;INDEX(Tareas!$E$6:$E$205,MATCH(E$5&amp;"_"&amp;164,Tareas!$N$6:$N$205,0),1)&amp;CHAR(10)&amp;INDEX(Tareas!$O$6:$O$205,MATCH(E$5&amp;"_"&amp;164,Tareas!$N$6:$N$205,0),1))</x:f>
      </x:c>
      <x:c r="F169" s="21" t="str">
        <x:f>IF(164&gt;F$4,"",INDEX(Tareas!$A$6:$A$205,MATCH(F$5&amp;"_"&amp;164,Tareas!$N$6:$N$205,0),1)&amp;" · "&amp;INDEX(Tareas!$D$6:$D$205,MATCH(F$5&amp;"_"&amp;164,Tareas!$N$6:$N$205,0),1)&amp;CHAR(10)&amp;INDEX(Tareas!$C$6:$C$205,MATCH(F$5&amp;"_"&amp;164,Tareas!$N$6:$N$205,0),1)&amp;CHAR(10)&amp;INDEX(Tareas!$E$6:$E$205,MATCH(F$5&amp;"_"&amp;164,Tareas!$N$6:$N$205,0),1)&amp;CHAR(10)&amp;INDEX(Tareas!$O$6:$O$205,MATCH(F$5&amp;"_"&amp;164,Tareas!$N$6:$N$205,0),1))</x:f>
      </x:c>
    </x:row>
    <x:row r="170" ht="76" customHeight="1">
      <x:c r="A170" s="21" t="str">
        <x:f>IF(165&gt;A$4,"",INDEX(Tareas!$A$6:$A$205,MATCH(A$5&amp;"_"&amp;165,Tareas!$N$6:$N$205,0),1)&amp;" · "&amp;INDEX(Tareas!$D$6:$D$205,MATCH(A$5&amp;"_"&amp;165,Tareas!$N$6:$N$205,0),1)&amp;CHAR(10)&amp;INDEX(Tareas!$C$6:$C$205,MATCH(A$5&amp;"_"&amp;165,Tareas!$N$6:$N$205,0),1)&amp;CHAR(10)&amp;INDEX(Tareas!$E$6:$E$205,MATCH(A$5&amp;"_"&amp;165,Tareas!$N$6:$N$205,0),1)&amp;CHAR(10)&amp;INDEX(Tareas!$O$6:$O$205,MATCH(A$5&amp;"_"&amp;165,Tareas!$N$6:$N$205,0),1))</x:f>
      </x:c>
      <x:c r="B170" s="21" t="str">
        <x:f>IF(165&gt;B$4,"",INDEX(Tareas!$A$6:$A$205,MATCH(B$5&amp;"_"&amp;165,Tareas!$N$6:$N$205,0),1)&amp;" · "&amp;INDEX(Tareas!$D$6:$D$205,MATCH(B$5&amp;"_"&amp;165,Tareas!$N$6:$N$205,0),1)&amp;CHAR(10)&amp;INDEX(Tareas!$C$6:$C$205,MATCH(B$5&amp;"_"&amp;165,Tareas!$N$6:$N$205,0),1)&amp;CHAR(10)&amp;INDEX(Tareas!$E$6:$E$205,MATCH(B$5&amp;"_"&amp;165,Tareas!$N$6:$N$205,0),1)&amp;CHAR(10)&amp;INDEX(Tareas!$O$6:$O$205,MATCH(B$5&amp;"_"&amp;165,Tareas!$N$6:$N$205,0),1))</x:f>
      </x:c>
      <x:c r="C170" s="21" t="str">
        <x:f>IF(165&gt;C$4,"",INDEX(Tareas!$A$6:$A$205,MATCH(C$5&amp;"_"&amp;165,Tareas!$N$6:$N$205,0),1)&amp;" · "&amp;INDEX(Tareas!$D$6:$D$205,MATCH(C$5&amp;"_"&amp;165,Tareas!$N$6:$N$205,0),1)&amp;CHAR(10)&amp;INDEX(Tareas!$C$6:$C$205,MATCH(C$5&amp;"_"&amp;165,Tareas!$N$6:$N$205,0),1)&amp;CHAR(10)&amp;INDEX(Tareas!$E$6:$E$205,MATCH(C$5&amp;"_"&amp;165,Tareas!$N$6:$N$205,0),1)&amp;CHAR(10)&amp;INDEX(Tareas!$O$6:$O$205,MATCH(C$5&amp;"_"&amp;165,Tareas!$N$6:$N$205,0),1))</x:f>
      </x:c>
      <x:c r="D170" s="21" t="str">
        <x:f>IF(165&gt;D$4,"",INDEX(Tareas!$A$6:$A$205,MATCH(D$5&amp;"_"&amp;165,Tareas!$N$6:$N$205,0),1)&amp;" · "&amp;INDEX(Tareas!$D$6:$D$205,MATCH(D$5&amp;"_"&amp;165,Tareas!$N$6:$N$205,0),1)&amp;CHAR(10)&amp;INDEX(Tareas!$C$6:$C$205,MATCH(D$5&amp;"_"&amp;165,Tareas!$N$6:$N$205,0),1)&amp;CHAR(10)&amp;INDEX(Tareas!$E$6:$E$205,MATCH(D$5&amp;"_"&amp;165,Tareas!$N$6:$N$205,0),1)&amp;CHAR(10)&amp;INDEX(Tareas!$O$6:$O$205,MATCH(D$5&amp;"_"&amp;165,Tareas!$N$6:$N$205,0),1))</x:f>
      </x:c>
      <x:c r="E170" s="21" t="str">
        <x:f>IF(165&gt;E$4,"",INDEX(Tareas!$A$6:$A$205,MATCH(E$5&amp;"_"&amp;165,Tareas!$N$6:$N$205,0),1)&amp;" · "&amp;INDEX(Tareas!$D$6:$D$205,MATCH(E$5&amp;"_"&amp;165,Tareas!$N$6:$N$205,0),1)&amp;CHAR(10)&amp;INDEX(Tareas!$C$6:$C$205,MATCH(E$5&amp;"_"&amp;165,Tareas!$N$6:$N$205,0),1)&amp;CHAR(10)&amp;INDEX(Tareas!$E$6:$E$205,MATCH(E$5&amp;"_"&amp;165,Tareas!$N$6:$N$205,0),1)&amp;CHAR(10)&amp;INDEX(Tareas!$O$6:$O$205,MATCH(E$5&amp;"_"&amp;165,Tareas!$N$6:$N$205,0),1))</x:f>
      </x:c>
      <x:c r="F170" s="21" t="str">
        <x:f>IF(165&gt;F$4,"",INDEX(Tareas!$A$6:$A$205,MATCH(F$5&amp;"_"&amp;165,Tareas!$N$6:$N$205,0),1)&amp;" · "&amp;INDEX(Tareas!$D$6:$D$205,MATCH(F$5&amp;"_"&amp;165,Tareas!$N$6:$N$205,0),1)&amp;CHAR(10)&amp;INDEX(Tareas!$C$6:$C$205,MATCH(F$5&amp;"_"&amp;165,Tareas!$N$6:$N$205,0),1)&amp;CHAR(10)&amp;INDEX(Tareas!$E$6:$E$205,MATCH(F$5&amp;"_"&amp;165,Tareas!$N$6:$N$205,0),1)&amp;CHAR(10)&amp;INDEX(Tareas!$O$6:$O$205,MATCH(F$5&amp;"_"&amp;165,Tareas!$N$6:$N$205,0),1))</x:f>
      </x:c>
    </x:row>
    <x:row r="171" ht="76" customHeight="1">
      <x:c r="A171" s="21" t="str">
        <x:f>IF(166&gt;A$4,"",INDEX(Tareas!$A$6:$A$205,MATCH(A$5&amp;"_"&amp;166,Tareas!$N$6:$N$205,0),1)&amp;" · "&amp;INDEX(Tareas!$D$6:$D$205,MATCH(A$5&amp;"_"&amp;166,Tareas!$N$6:$N$205,0),1)&amp;CHAR(10)&amp;INDEX(Tareas!$C$6:$C$205,MATCH(A$5&amp;"_"&amp;166,Tareas!$N$6:$N$205,0),1)&amp;CHAR(10)&amp;INDEX(Tareas!$E$6:$E$205,MATCH(A$5&amp;"_"&amp;166,Tareas!$N$6:$N$205,0),1)&amp;CHAR(10)&amp;INDEX(Tareas!$O$6:$O$205,MATCH(A$5&amp;"_"&amp;166,Tareas!$N$6:$N$205,0),1))</x:f>
      </x:c>
      <x:c r="B171" s="21" t="str">
        <x:f>IF(166&gt;B$4,"",INDEX(Tareas!$A$6:$A$205,MATCH(B$5&amp;"_"&amp;166,Tareas!$N$6:$N$205,0),1)&amp;" · "&amp;INDEX(Tareas!$D$6:$D$205,MATCH(B$5&amp;"_"&amp;166,Tareas!$N$6:$N$205,0),1)&amp;CHAR(10)&amp;INDEX(Tareas!$C$6:$C$205,MATCH(B$5&amp;"_"&amp;166,Tareas!$N$6:$N$205,0),1)&amp;CHAR(10)&amp;INDEX(Tareas!$E$6:$E$205,MATCH(B$5&amp;"_"&amp;166,Tareas!$N$6:$N$205,0),1)&amp;CHAR(10)&amp;INDEX(Tareas!$O$6:$O$205,MATCH(B$5&amp;"_"&amp;166,Tareas!$N$6:$N$205,0),1))</x:f>
      </x:c>
      <x:c r="C171" s="21" t="str">
        <x:f>IF(166&gt;C$4,"",INDEX(Tareas!$A$6:$A$205,MATCH(C$5&amp;"_"&amp;166,Tareas!$N$6:$N$205,0),1)&amp;" · "&amp;INDEX(Tareas!$D$6:$D$205,MATCH(C$5&amp;"_"&amp;166,Tareas!$N$6:$N$205,0),1)&amp;CHAR(10)&amp;INDEX(Tareas!$C$6:$C$205,MATCH(C$5&amp;"_"&amp;166,Tareas!$N$6:$N$205,0),1)&amp;CHAR(10)&amp;INDEX(Tareas!$E$6:$E$205,MATCH(C$5&amp;"_"&amp;166,Tareas!$N$6:$N$205,0),1)&amp;CHAR(10)&amp;INDEX(Tareas!$O$6:$O$205,MATCH(C$5&amp;"_"&amp;166,Tareas!$N$6:$N$205,0),1))</x:f>
      </x:c>
      <x:c r="D171" s="21" t="str">
        <x:f>IF(166&gt;D$4,"",INDEX(Tareas!$A$6:$A$205,MATCH(D$5&amp;"_"&amp;166,Tareas!$N$6:$N$205,0),1)&amp;" · "&amp;INDEX(Tareas!$D$6:$D$205,MATCH(D$5&amp;"_"&amp;166,Tareas!$N$6:$N$205,0),1)&amp;CHAR(10)&amp;INDEX(Tareas!$C$6:$C$205,MATCH(D$5&amp;"_"&amp;166,Tareas!$N$6:$N$205,0),1)&amp;CHAR(10)&amp;INDEX(Tareas!$E$6:$E$205,MATCH(D$5&amp;"_"&amp;166,Tareas!$N$6:$N$205,0),1)&amp;CHAR(10)&amp;INDEX(Tareas!$O$6:$O$205,MATCH(D$5&amp;"_"&amp;166,Tareas!$N$6:$N$205,0),1))</x:f>
      </x:c>
      <x:c r="E171" s="21" t="str">
        <x:f>IF(166&gt;E$4,"",INDEX(Tareas!$A$6:$A$205,MATCH(E$5&amp;"_"&amp;166,Tareas!$N$6:$N$205,0),1)&amp;" · "&amp;INDEX(Tareas!$D$6:$D$205,MATCH(E$5&amp;"_"&amp;166,Tareas!$N$6:$N$205,0),1)&amp;CHAR(10)&amp;INDEX(Tareas!$C$6:$C$205,MATCH(E$5&amp;"_"&amp;166,Tareas!$N$6:$N$205,0),1)&amp;CHAR(10)&amp;INDEX(Tareas!$E$6:$E$205,MATCH(E$5&amp;"_"&amp;166,Tareas!$N$6:$N$205,0),1)&amp;CHAR(10)&amp;INDEX(Tareas!$O$6:$O$205,MATCH(E$5&amp;"_"&amp;166,Tareas!$N$6:$N$205,0),1))</x:f>
      </x:c>
      <x:c r="F171" s="21" t="str">
        <x:f>IF(166&gt;F$4,"",INDEX(Tareas!$A$6:$A$205,MATCH(F$5&amp;"_"&amp;166,Tareas!$N$6:$N$205,0),1)&amp;" · "&amp;INDEX(Tareas!$D$6:$D$205,MATCH(F$5&amp;"_"&amp;166,Tareas!$N$6:$N$205,0),1)&amp;CHAR(10)&amp;INDEX(Tareas!$C$6:$C$205,MATCH(F$5&amp;"_"&amp;166,Tareas!$N$6:$N$205,0),1)&amp;CHAR(10)&amp;INDEX(Tareas!$E$6:$E$205,MATCH(F$5&amp;"_"&amp;166,Tareas!$N$6:$N$205,0),1)&amp;CHAR(10)&amp;INDEX(Tareas!$O$6:$O$205,MATCH(F$5&amp;"_"&amp;166,Tareas!$N$6:$N$205,0),1))</x:f>
      </x:c>
    </x:row>
    <x:row r="172" ht="76" customHeight="1">
      <x:c r="A172" s="21" t="str">
        <x:f>IF(167&gt;A$4,"",INDEX(Tareas!$A$6:$A$205,MATCH(A$5&amp;"_"&amp;167,Tareas!$N$6:$N$205,0),1)&amp;" · "&amp;INDEX(Tareas!$D$6:$D$205,MATCH(A$5&amp;"_"&amp;167,Tareas!$N$6:$N$205,0),1)&amp;CHAR(10)&amp;INDEX(Tareas!$C$6:$C$205,MATCH(A$5&amp;"_"&amp;167,Tareas!$N$6:$N$205,0),1)&amp;CHAR(10)&amp;INDEX(Tareas!$E$6:$E$205,MATCH(A$5&amp;"_"&amp;167,Tareas!$N$6:$N$205,0),1)&amp;CHAR(10)&amp;INDEX(Tareas!$O$6:$O$205,MATCH(A$5&amp;"_"&amp;167,Tareas!$N$6:$N$205,0),1))</x:f>
      </x:c>
      <x:c r="B172" s="21" t="str">
        <x:f>IF(167&gt;B$4,"",INDEX(Tareas!$A$6:$A$205,MATCH(B$5&amp;"_"&amp;167,Tareas!$N$6:$N$205,0),1)&amp;" · "&amp;INDEX(Tareas!$D$6:$D$205,MATCH(B$5&amp;"_"&amp;167,Tareas!$N$6:$N$205,0),1)&amp;CHAR(10)&amp;INDEX(Tareas!$C$6:$C$205,MATCH(B$5&amp;"_"&amp;167,Tareas!$N$6:$N$205,0),1)&amp;CHAR(10)&amp;INDEX(Tareas!$E$6:$E$205,MATCH(B$5&amp;"_"&amp;167,Tareas!$N$6:$N$205,0),1)&amp;CHAR(10)&amp;INDEX(Tareas!$O$6:$O$205,MATCH(B$5&amp;"_"&amp;167,Tareas!$N$6:$N$205,0),1))</x:f>
      </x:c>
      <x:c r="C172" s="21" t="str">
        <x:f>IF(167&gt;C$4,"",INDEX(Tareas!$A$6:$A$205,MATCH(C$5&amp;"_"&amp;167,Tareas!$N$6:$N$205,0),1)&amp;" · "&amp;INDEX(Tareas!$D$6:$D$205,MATCH(C$5&amp;"_"&amp;167,Tareas!$N$6:$N$205,0),1)&amp;CHAR(10)&amp;INDEX(Tareas!$C$6:$C$205,MATCH(C$5&amp;"_"&amp;167,Tareas!$N$6:$N$205,0),1)&amp;CHAR(10)&amp;INDEX(Tareas!$E$6:$E$205,MATCH(C$5&amp;"_"&amp;167,Tareas!$N$6:$N$205,0),1)&amp;CHAR(10)&amp;INDEX(Tareas!$O$6:$O$205,MATCH(C$5&amp;"_"&amp;167,Tareas!$N$6:$N$205,0),1))</x:f>
      </x:c>
      <x:c r="D172" s="21" t="str">
        <x:f>IF(167&gt;D$4,"",INDEX(Tareas!$A$6:$A$205,MATCH(D$5&amp;"_"&amp;167,Tareas!$N$6:$N$205,0),1)&amp;" · "&amp;INDEX(Tareas!$D$6:$D$205,MATCH(D$5&amp;"_"&amp;167,Tareas!$N$6:$N$205,0),1)&amp;CHAR(10)&amp;INDEX(Tareas!$C$6:$C$205,MATCH(D$5&amp;"_"&amp;167,Tareas!$N$6:$N$205,0),1)&amp;CHAR(10)&amp;INDEX(Tareas!$E$6:$E$205,MATCH(D$5&amp;"_"&amp;167,Tareas!$N$6:$N$205,0),1)&amp;CHAR(10)&amp;INDEX(Tareas!$O$6:$O$205,MATCH(D$5&amp;"_"&amp;167,Tareas!$N$6:$N$205,0),1))</x:f>
      </x:c>
      <x:c r="E172" s="21" t="str">
        <x:f>IF(167&gt;E$4,"",INDEX(Tareas!$A$6:$A$205,MATCH(E$5&amp;"_"&amp;167,Tareas!$N$6:$N$205,0),1)&amp;" · "&amp;INDEX(Tareas!$D$6:$D$205,MATCH(E$5&amp;"_"&amp;167,Tareas!$N$6:$N$205,0),1)&amp;CHAR(10)&amp;INDEX(Tareas!$C$6:$C$205,MATCH(E$5&amp;"_"&amp;167,Tareas!$N$6:$N$205,0),1)&amp;CHAR(10)&amp;INDEX(Tareas!$E$6:$E$205,MATCH(E$5&amp;"_"&amp;167,Tareas!$N$6:$N$205,0),1)&amp;CHAR(10)&amp;INDEX(Tareas!$O$6:$O$205,MATCH(E$5&amp;"_"&amp;167,Tareas!$N$6:$N$205,0),1))</x:f>
      </x:c>
      <x:c r="F172" s="21" t="str">
        <x:f>IF(167&gt;F$4,"",INDEX(Tareas!$A$6:$A$205,MATCH(F$5&amp;"_"&amp;167,Tareas!$N$6:$N$205,0),1)&amp;" · "&amp;INDEX(Tareas!$D$6:$D$205,MATCH(F$5&amp;"_"&amp;167,Tareas!$N$6:$N$205,0),1)&amp;CHAR(10)&amp;INDEX(Tareas!$C$6:$C$205,MATCH(F$5&amp;"_"&amp;167,Tareas!$N$6:$N$205,0),1)&amp;CHAR(10)&amp;INDEX(Tareas!$E$6:$E$205,MATCH(F$5&amp;"_"&amp;167,Tareas!$N$6:$N$205,0),1)&amp;CHAR(10)&amp;INDEX(Tareas!$O$6:$O$205,MATCH(F$5&amp;"_"&amp;167,Tareas!$N$6:$N$205,0),1))</x:f>
      </x:c>
    </x:row>
    <x:row r="173" ht="76" customHeight="1">
      <x:c r="A173" s="21" t="str">
        <x:f>IF(168&gt;A$4,"",INDEX(Tareas!$A$6:$A$205,MATCH(A$5&amp;"_"&amp;168,Tareas!$N$6:$N$205,0),1)&amp;" · "&amp;INDEX(Tareas!$D$6:$D$205,MATCH(A$5&amp;"_"&amp;168,Tareas!$N$6:$N$205,0),1)&amp;CHAR(10)&amp;INDEX(Tareas!$C$6:$C$205,MATCH(A$5&amp;"_"&amp;168,Tareas!$N$6:$N$205,0),1)&amp;CHAR(10)&amp;INDEX(Tareas!$E$6:$E$205,MATCH(A$5&amp;"_"&amp;168,Tareas!$N$6:$N$205,0),1)&amp;CHAR(10)&amp;INDEX(Tareas!$O$6:$O$205,MATCH(A$5&amp;"_"&amp;168,Tareas!$N$6:$N$205,0),1))</x:f>
      </x:c>
      <x:c r="B173" s="21" t="str">
        <x:f>IF(168&gt;B$4,"",INDEX(Tareas!$A$6:$A$205,MATCH(B$5&amp;"_"&amp;168,Tareas!$N$6:$N$205,0),1)&amp;" · "&amp;INDEX(Tareas!$D$6:$D$205,MATCH(B$5&amp;"_"&amp;168,Tareas!$N$6:$N$205,0),1)&amp;CHAR(10)&amp;INDEX(Tareas!$C$6:$C$205,MATCH(B$5&amp;"_"&amp;168,Tareas!$N$6:$N$205,0),1)&amp;CHAR(10)&amp;INDEX(Tareas!$E$6:$E$205,MATCH(B$5&amp;"_"&amp;168,Tareas!$N$6:$N$205,0),1)&amp;CHAR(10)&amp;INDEX(Tareas!$O$6:$O$205,MATCH(B$5&amp;"_"&amp;168,Tareas!$N$6:$N$205,0),1))</x:f>
      </x:c>
      <x:c r="C173" s="21" t="str">
        <x:f>IF(168&gt;C$4,"",INDEX(Tareas!$A$6:$A$205,MATCH(C$5&amp;"_"&amp;168,Tareas!$N$6:$N$205,0),1)&amp;" · "&amp;INDEX(Tareas!$D$6:$D$205,MATCH(C$5&amp;"_"&amp;168,Tareas!$N$6:$N$205,0),1)&amp;CHAR(10)&amp;INDEX(Tareas!$C$6:$C$205,MATCH(C$5&amp;"_"&amp;168,Tareas!$N$6:$N$205,0),1)&amp;CHAR(10)&amp;INDEX(Tareas!$E$6:$E$205,MATCH(C$5&amp;"_"&amp;168,Tareas!$N$6:$N$205,0),1)&amp;CHAR(10)&amp;INDEX(Tareas!$O$6:$O$205,MATCH(C$5&amp;"_"&amp;168,Tareas!$N$6:$N$205,0),1))</x:f>
      </x:c>
      <x:c r="D173" s="21" t="str">
        <x:f>IF(168&gt;D$4,"",INDEX(Tareas!$A$6:$A$205,MATCH(D$5&amp;"_"&amp;168,Tareas!$N$6:$N$205,0),1)&amp;" · "&amp;INDEX(Tareas!$D$6:$D$205,MATCH(D$5&amp;"_"&amp;168,Tareas!$N$6:$N$205,0),1)&amp;CHAR(10)&amp;INDEX(Tareas!$C$6:$C$205,MATCH(D$5&amp;"_"&amp;168,Tareas!$N$6:$N$205,0),1)&amp;CHAR(10)&amp;INDEX(Tareas!$E$6:$E$205,MATCH(D$5&amp;"_"&amp;168,Tareas!$N$6:$N$205,0),1)&amp;CHAR(10)&amp;INDEX(Tareas!$O$6:$O$205,MATCH(D$5&amp;"_"&amp;168,Tareas!$N$6:$N$205,0),1))</x:f>
      </x:c>
      <x:c r="E173" s="21" t="str">
        <x:f>IF(168&gt;E$4,"",INDEX(Tareas!$A$6:$A$205,MATCH(E$5&amp;"_"&amp;168,Tareas!$N$6:$N$205,0),1)&amp;" · "&amp;INDEX(Tareas!$D$6:$D$205,MATCH(E$5&amp;"_"&amp;168,Tareas!$N$6:$N$205,0),1)&amp;CHAR(10)&amp;INDEX(Tareas!$C$6:$C$205,MATCH(E$5&amp;"_"&amp;168,Tareas!$N$6:$N$205,0),1)&amp;CHAR(10)&amp;INDEX(Tareas!$E$6:$E$205,MATCH(E$5&amp;"_"&amp;168,Tareas!$N$6:$N$205,0),1)&amp;CHAR(10)&amp;INDEX(Tareas!$O$6:$O$205,MATCH(E$5&amp;"_"&amp;168,Tareas!$N$6:$N$205,0),1))</x:f>
      </x:c>
      <x:c r="F173" s="21" t="str">
        <x:f>IF(168&gt;F$4,"",INDEX(Tareas!$A$6:$A$205,MATCH(F$5&amp;"_"&amp;168,Tareas!$N$6:$N$205,0),1)&amp;" · "&amp;INDEX(Tareas!$D$6:$D$205,MATCH(F$5&amp;"_"&amp;168,Tareas!$N$6:$N$205,0),1)&amp;CHAR(10)&amp;INDEX(Tareas!$C$6:$C$205,MATCH(F$5&amp;"_"&amp;168,Tareas!$N$6:$N$205,0),1)&amp;CHAR(10)&amp;INDEX(Tareas!$E$6:$E$205,MATCH(F$5&amp;"_"&amp;168,Tareas!$N$6:$N$205,0),1)&amp;CHAR(10)&amp;INDEX(Tareas!$O$6:$O$205,MATCH(F$5&amp;"_"&amp;168,Tareas!$N$6:$N$205,0),1))</x:f>
      </x:c>
    </x:row>
    <x:row r="174" ht="76" customHeight="1">
      <x:c r="A174" s="21" t="str">
        <x:f>IF(169&gt;A$4,"",INDEX(Tareas!$A$6:$A$205,MATCH(A$5&amp;"_"&amp;169,Tareas!$N$6:$N$205,0),1)&amp;" · "&amp;INDEX(Tareas!$D$6:$D$205,MATCH(A$5&amp;"_"&amp;169,Tareas!$N$6:$N$205,0),1)&amp;CHAR(10)&amp;INDEX(Tareas!$C$6:$C$205,MATCH(A$5&amp;"_"&amp;169,Tareas!$N$6:$N$205,0),1)&amp;CHAR(10)&amp;INDEX(Tareas!$E$6:$E$205,MATCH(A$5&amp;"_"&amp;169,Tareas!$N$6:$N$205,0),1)&amp;CHAR(10)&amp;INDEX(Tareas!$O$6:$O$205,MATCH(A$5&amp;"_"&amp;169,Tareas!$N$6:$N$205,0),1))</x:f>
      </x:c>
      <x:c r="B174" s="21" t="str">
        <x:f>IF(169&gt;B$4,"",INDEX(Tareas!$A$6:$A$205,MATCH(B$5&amp;"_"&amp;169,Tareas!$N$6:$N$205,0),1)&amp;" · "&amp;INDEX(Tareas!$D$6:$D$205,MATCH(B$5&amp;"_"&amp;169,Tareas!$N$6:$N$205,0),1)&amp;CHAR(10)&amp;INDEX(Tareas!$C$6:$C$205,MATCH(B$5&amp;"_"&amp;169,Tareas!$N$6:$N$205,0),1)&amp;CHAR(10)&amp;INDEX(Tareas!$E$6:$E$205,MATCH(B$5&amp;"_"&amp;169,Tareas!$N$6:$N$205,0),1)&amp;CHAR(10)&amp;INDEX(Tareas!$O$6:$O$205,MATCH(B$5&amp;"_"&amp;169,Tareas!$N$6:$N$205,0),1))</x:f>
      </x:c>
      <x:c r="C174" s="21" t="str">
        <x:f>IF(169&gt;C$4,"",INDEX(Tareas!$A$6:$A$205,MATCH(C$5&amp;"_"&amp;169,Tareas!$N$6:$N$205,0),1)&amp;" · "&amp;INDEX(Tareas!$D$6:$D$205,MATCH(C$5&amp;"_"&amp;169,Tareas!$N$6:$N$205,0),1)&amp;CHAR(10)&amp;INDEX(Tareas!$C$6:$C$205,MATCH(C$5&amp;"_"&amp;169,Tareas!$N$6:$N$205,0),1)&amp;CHAR(10)&amp;INDEX(Tareas!$E$6:$E$205,MATCH(C$5&amp;"_"&amp;169,Tareas!$N$6:$N$205,0),1)&amp;CHAR(10)&amp;INDEX(Tareas!$O$6:$O$205,MATCH(C$5&amp;"_"&amp;169,Tareas!$N$6:$N$205,0),1))</x:f>
      </x:c>
      <x:c r="D174" s="21" t="str">
        <x:f>IF(169&gt;D$4,"",INDEX(Tareas!$A$6:$A$205,MATCH(D$5&amp;"_"&amp;169,Tareas!$N$6:$N$205,0),1)&amp;" · "&amp;INDEX(Tareas!$D$6:$D$205,MATCH(D$5&amp;"_"&amp;169,Tareas!$N$6:$N$205,0),1)&amp;CHAR(10)&amp;INDEX(Tareas!$C$6:$C$205,MATCH(D$5&amp;"_"&amp;169,Tareas!$N$6:$N$205,0),1)&amp;CHAR(10)&amp;INDEX(Tareas!$E$6:$E$205,MATCH(D$5&amp;"_"&amp;169,Tareas!$N$6:$N$205,0),1)&amp;CHAR(10)&amp;INDEX(Tareas!$O$6:$O$205,MATCH(D$5&amp;"_"&amp;169,Tareas!$N$6:$N$205,0),1))</x:f>
      </x:c>
      <x:c r="E174" s="21" t="str">
        <x:f>IF(169&gt;E$4,"",INDEX(Tareas!$A$6:$A$205,MATCH(E$5&amp;"_"&amp;169,Tareas!$N$6:$N$205,0),1)&amp;" · "&amp;INDEX(Tareas!$D$6:$D$205,MATCH(E$5&amp;"_"&amp;169,Tareas!$N$6:$N$205,0),1)&amp;CHAR(10)&amp;INDEX(Tareas!$C$6:$C$205,MATCH(E$5&amp;"_"&amp;169,Tareas!$N$6:$N$205,0),1)&amp;CHAR(10)&amp;INDEX(Tareas!$E$6:$E$205,MATCH(E$5&amp;"_"&amp;169,Tareas!$N$6:$N$205,0),1)&amp;CHAR(10)&amp;INDEX(Tareas!$O$6:$O$205,MATCH(E$5&amp;"_"&amp;169,Tareas!$N$6:$N$205,0),1))</x:f>
      </x:c>
      <x:c r="F174" s="21" t="str">
        <x:f>IF(169&gt;F$4,"",INDEX(Tareas!$A$6:$A$205,MATCH(F$5&amp;"_"&amp;169,Tareas!$N$6:$N$205,0),1)&amp;" · "&amp;INDEX(Tareas!$D$6:$D$205,MATCH(F$5&amp;"_"&amp;169,Tareas!$N$6:$N$205,0),1)&amp;CHAR(10)&amp;INDEX(Tareas!$C$6:$C$205,MATCH(F$5&amp;"_"&amp;169,Tareas!$N$6:$N$205,0),1)&amp;CHAR(10)&amp;INDEX(Tareas!$E$6:$E$205,MATCH(F$5&amp;"_"&amp;169,Tareas!$N$6:$N$205,0),1)&amp;CHAR(10)&amp;INDEX(Tareas!$O$6:$O$205,MATCH(F$5&amp;"_"&amp;169,Tareas!$N$6:$N$205,0),1))</x:f>
      </x:c>
    </x:row>
    <x:row r="175" ht="76" customHeight="1">
      <x:c r="A175" s="21" t="str">
        <x:f>IF(170&gt;A$4,"",INDEX(Tareas!$A$6:$A$205,MATCH(A$5&amp;"_"&amp;170,Tareas!$N$6:$N$205,0),1)&amp;" · "&amp;INDEX(Tareas!$D$6:$D$205,MATCH(A$5&amp;"_"&amp;170,Tareas!$N$6:$N$205,0),1)&amp;CHAR(10)&amp;INDEX(Tareas!$C$6:$C$205,MATCH(A$5&amp;"_"&amp;170,Tareas!$N$6:$N$205,0),1)&amp;CHAR(10)&amp;INDEX(Tareas!$E$6:$E$205,MATCH(A$5&amp;"_"&amp;170,Tareas!$N$6:$N$205,0),1)&amp;CHAR(10)&amp;INDEX(Tareas!$O$6:$O$205,MATCH(A$5&amp;"_"&amp;170,Tareas!$N$6:$N$205,0),1))</x:f>
      </x:c>
      <x:c r="B175" s="21" t="str">
        <x:f>IF(170&gt;B$4,"",INDEX(Tareas!$A$6:$A$205,MATCH(B$5&amp;"_"&amp;170,Tareas!$N$6:$N$205,0),1)&amp;" · "&amp;INDEX(Tareas!$D$6:$D$205,MATCH(B$5&amp;"_"&amp;170,Tareas!$N$6:$N$205,0),1)&amp;CHAR(10)&amp;INDEX(Tareas!$C$6:$C$205,MATCH(B$5&amp;"_"&amp;170,Tareas!$N$6:$N$205,0),1)&amp;CHAR(10)&amp;INDEX(Tareas!$E$6:$E$205,MATCH(B$5&amp;"_"&amp;170,Tareas!$N$6:$N$205,0),1)&amp;CHAR(10)&amp;INDEX(Tareas!$O$6:$O$205,MATCH(B$5&amp;"_"&amp;170,Tareas!$N$6:$N$205,0),1))</x:f>
      </x:c>
      <x:c r="C175" s="21" t="str">
        <x:f>IF(170&gt;C$4,"",INDEX(Tareas!$A$6:$A$205,MATCH(C$5&amp;"_"&amp;170,Tareas!$N$6:$N$205,0),1)&amp;" · "&amp;INDEX(Tareas!$D$6:$D$205,MATCH(C$5&amp;"_"&amp;170,Tareas!$N$6:$N$205,0),1)&amp;CHAR(10)&amp;INDEX(Tareas!$C$6:$C$205,MATCH(C$5&amp;"_"&amp;170,Tareas!$N$6:$N$205,0),1)&amp;CHAR(10)&amp;INDEX(Tareas!$E$6:$E$205,MATCH(C$5&amp;"_"&amp;170,Tareas!$N$6:$N$205,0),1)&amp;CHAR(10)&amp;INDEX(Tareas!$O$6:$O$205,MATCH(C$5&amp;"_"&amp;170,Tareas!$N$6:$N$205,0),1))</x:f>
      </x:c>
      <x:c r="D175" s="21" t="str">
        <x:f>IF(170&gt;D$4,"",INDEX(Tareas!$A$6:$A$205,MATCH(D$5&amp;"_"&amp;170,Tareas!$N$6:$N$205,0),1)&amp;" · "&amp;INDEX(Tareas!$D$6:$D$205,MATCH(D$5&amp;"_"&amp;170,Tareas!$N$6:$N$205,0),1)&amp;CHAR(10)&amp;INDEX(Tareas!$C$6:$C$205,MATCH(D$5&amp;"_"&amp;170,Tareas!$N$6:$N$205,0),1)&amp;CHAR(10)&amp;INDEX(Tareas!$E$6:$E$205,MATCH(D$5&amp;"_"&amp;170,Tareas!$N$6:$N$205,0),1)&amp;CHAR(10)&amp;INDEX(Tareas!$O$6:$O$205,MATCH(D$5&amp;"_"&amp;170,Tareas!$N$6:$N$205,0),1))</x:f>
      </x:c>
      <x:c r="E175" s="21" t="str">
        <x:f>IF(170&gt;E$4,"",INDEX(Tareas!$A$6:$A$205,MATCH(E$5&amp;"_"&amp;170,Tareas!$N$6:$N$205,0),1)&amp;" · "&amp;INDEX(Tareas!$D$6:$D$205,MATCH(E$5&amp;"_"&amp;170,Tareas!$N$6:$N$205,0),1)&amp;CHAR(10)&amp;INDEX(Tareas!$C$6:$C$205,MATCH(E$5&amp;"_"&amp;170,Tareas!$N$6:$N$205,0),1)&amp;CHAR(10)&amp;INDEX(Tareas!$E$6:$E$205,MATCH(E$5&amp;"_"&amp;170,Tareas!$N$6:$N$205,0),1)&amp;CHAR(10)&amp;INDEX(Tareas!$O$6:$O$205,MATCH(E$5&amp;"_"&amp;170,Tareas!$N$6:$N$205,0),1))</x:f>
      </x:c>
      <x:c r="F175" s="21" t="str">
        <x:f>IF(170&gt;F$4,"",INDEX(Tareas!$A$6:$A$205,MATCH(F$5&amp;"_"&amp;170,Tareas!$N$6:$N$205,0),1)&amp;" · "&amp;INDEX(Tareas!$D$6:$D$205,MATCH(F$5&amp;"_"&amp;170,Tareas!$N$6:$N$205,0),1)&amp;CHAR(10)&amp;INDEX(Tareas!$C$6:$C$205,MATCH(F$5&amp;"_"&amp;170,Tareas!$N$6:$N$205,0),1)&amp;CHAR(10)&amp;INDEX(Tareas!$E$6:$E$205,MATCH(F$5&amp;"_"&amp;170,Tareas!$N$6:$N$205,0),1)&amp;CHAR(10)&amp;INDEX(Tareas!$O$6:$O$205,MATCH(F$5&amp;"_"&amp;170,Tareas!$N$6:$N$205,0),1))</x:f>
      </x:c>
    </x:row>
    <x:row r="176" ht="76" customHeight="1">
      <x:c r="A176" s="21" t="str">
        <x:f>IF(171&gt;A$4,"",INDEX(Tareas!$A$6:$A$205,MATCH(A$5&amp;"_"&amp;171,Tareas!$N$6:$N$205,0),1)&amp;" · "&amp;INDEX(Tareas!$D$6:$D$205,MATCH(A$5&amp;"_"&amp;171,Tareas!$N$6:$N$205,0),1)&amp;CHAR(10)&amp;INDEX(Tareas!$C$6:$C$205,MATCH(A$5&amp;"_"&amp;171,Tareas!$N$6:$N$205,0),1)&amp;CHAR(10)&amp;INDEX(Tareas!$E$6:$E$205,MATCH(A$5&amp;"_"&amp;171,Tareas!$N$6:$N$205,0),1)&amp;CHAR(10)&amp;INDEX(Tareas!$O$6:$O$205,MATCH(A$5&amp;"_"&amp;171,Tareas!$N$6:$N$205,0),1))</x:f>
      </x:c>
      <x:c r="B176" s="21" t="str">
        <x:f>IF(171&gt;B$4,"",INDEX(Tareas!$A$6:$A$205,MATCH(B$5&amp;"_"&amp;171,Tareas!$N$6:$N$205,0),1)&amp;" · "&amp;INDEX(Tareas!$D$6:$D$205,MATCH(B$5&amp;"_"&amp;171,Tareas!$N$6:$N$205,0),1)&amp;CHAR(10)&amp;INDEX(Tareas!$C$6:$C$205,MATCH(B$5&amp;"_"&amp;171,Tareas!$N$6:$N$205,0),1)&amp;CHAR(10)&amp;INDEX(Tareas!$E$6:$E$205,MATCH(B$5&amp;"_"&amp;171,Tareas!$N$6:$N$205,0),1)&amp;CHAR(10)&amp;INDEX(Tareas!$O$6:$O$205,MATCH(B$5&amp;"_"&amp;171,Tareas!$N$6:$N$205,0),1))</x:f>
      </x:c>
      <x:c r="C176" s="21" t="str">
        <x:f>IF(171&gt;C$4,"",INDEX(Tareas!$A$6:$A$205,MATCH(C$5&amp;"_"&amp;171,Tareas!$N$6:$N$205,0),1)&amp;" · "&amp;INDEX(Tareas!$D$6:$D$205,MATCH(C$5&amp;"_"&amp;171,Tareas!$N$6:$N$205,0),1)&amp;CHAR(10)&amp;INDEX(Tareas!$C$6:$C$205,MATCH(C$5&amp;"_"&amp;171,Tareas!$N$6:$N$205,0),1)&amp;CHAR(10)&amp;INDEX(Tareas!$E$6:$E$205,MATCH(C$5&amp;"_"&amp;171,Tareas!$N$6:$N$205,0),1)&amp;CHAR(10)&amp;INDEX(Tareas!$O$6:$O$205,MATCH(C$5&amp;"_"&amp;171,Tareas!$N$6:$N$205,0),1))</x:f>
      </x:c>
      <x:c r="D176" s="21" t="str">
        <x:f>IF(171&gt;D$4,"",INDEX(Tareas!$A$6:$A$205,MATCH(D$5&amp;"_"&amp;171,Tareas!$N$6:$N$205,0),1)&amp;" · "&amp;INDEX(Tareas!$D$6:$D$205,MATCH(D$5&amp;"_"&amp;171,Tareas!$N$6:$N$205,0),1)&amp;CHAR(10)&amp;INDEX(Tareas!$C$6:$C$205,MATCH(D$5&amp;"_"&amp;171,Tareas!$N$6:$N$205,0),1)&amp;CHAR(10)&amp;INDEX(Tareas!$E$6:$E$205,MATCH(D$5&amp;"_"&amp;171,Tareas!$N$6:$N$205,0),1)&amp;CHAR(10)&amp;INDEX(Tareas!$O$6:$O$205,MATCH(D$5&amp;"_"&amp;171,Tareas!$N$6:$N$205,0),1))</x:f>
      </x:c>
      <x:c r="E176" s="21" t="str">
        <x:f>IF(171&gt;E$4,"",INDEX(Tareas!$A$6:$A$205,MATCH(E$5&amp;"_"&amp;171,Tareas!$N$6:$N$205,0),1)&amp;" · "&amp;INDEX(Tareas!$D$6:$D$205,MATCH(E$5&amp;"_"&amp;171,Tareas!$N$6:$N$205,0),1)&amp;CHAR(10)&amp;INDEX(Tareas!$C$6:$C$205,MATCH(E$5&amp;"_"&amp;171,Tareas!$N$6:$N$205,0),1)&amp;CHAR(10)&amp;INDEX(Tareas!$E$6:$E$205,MATCH(E$5&amp;"_"&amp;171,Tareas!$N$6:$N$205,0),1)&amp;CHAR(10)&amp;INDEX(Tareas!$O$6:$O$205,MATCH(E$5&amp;"_"&amp;171,Tareas!$N$6:$N$205,0),1))</x:f>
      </x:c>
      <x:c r="F176" s="21" t="str">
        <x:f>IF(171&gt;F$4,"",INDEX(Tareas!$A$6:$A$205,MATCH(F$5&amp;"_"&amp;171,Tareas!$N$6:$N$205,0),1)&amp;" · "&amp;INDEX(Tareas!$D$6:$D$205,MATCH(F$5&amp;"_"&amp;171,Tareas!$N$6:$N$205,0),1)&amp;CHAR(10)&amp;INDEX(Tareas!$C$6:$C$205,MATCH(F$5&amp;"_"&amp;171,Tareas!$N$6:$N$205,0),1)&amp;CHAR(10)&amp;INDEX(Tareas!$E$6:$E$205,MATCH(F$5&amp;"_"&amp;171,Tareas!$N$6:$N$205,0),1)&amp;CHAR(10)&amp;INDEX(Tareas!$O$6:$O$205,MATCH(F$5&amp;"_"&amp;171,Tareas!$N$6:$N$205,0),1))</x:f>
      </x:c>
    </x:row>
    <x:row r="177" ht="76" customHeight="1">
      <x:c r="A177" s="21" t="str">
        <x:f>IF(172&gt;A$4,"",INDEX(Tareas!$A$6:$A$205,MATCH(A$5&amp;"_"&amp;172,Tareas!$N$6:$N$205,0),1)&amp;" · "&amp;INDEX(Tareas!$D$6:$D$205,MATCH(A$5&amp;"_"&amp;172,Tareas!$N$6:$N$205,0),1)&amp;CHAR(10)&amp;INDEX(Tareas!$C$6:$C$205,MATCH(A$5&amp;"_"&amp;172,Tareas!$N$6:$N$205,0),1)&amp;CHAR(10)&amp;INDEX(Tareas!$E$6:$E$205,MATCH(A$5&amp;"_"&amp;172,Tareas!$N$6:$N$205,0),1)&amp;CHAR(10)&amp;INDEX(Tareas!$O$6:$O$205,MATCH(A$5&amp;"_"&amp;172,Tareas!$N$6:$N$205,0),1))</x:f>
      </x:c>
      <x:c r="B177" s="21" t="str">
        <x:f>IF(172&gt;B$4,"",INDEX(Tareas!$A$6:$A$205,MATCH(B$5&amp;"_"&amp;172,Tareas!$N$6:$N$205,0),1)&amp;" · "&amp;INDEX(Tareas!$D$6:$D$205,MATCH(B$5&amp;"_"&amp;172,Tareas!$N$6:$N$205,0),1)&amp;CHAR(10)&amp;INDEX(Tareas!$C$6:$C$205,MATCH(B$5&amp;"_"&amp;172,Tareas!$N$6:$N$205,0),1)&amp;CHAR(10)&amp;INDEX(Tareas!$E$6:$E$205,MATCH(B$5&amp;"_"&amp;172,Tareas!$N$6:$N$205,0),1)&amp;CHAR(10)&amp;INDEX(Tareas!$O$6:$O$205,MATCH(B$5&amp;"_"&amp;172,Tareas!$N$6:$N$205,0),1))</x:f>
      </x:c>
      <x:c r="C177" s="21" t="str">
        <x:f>IF(172&gt;C$4,"",INDEX(Tareas!$A$6:$A$205,MATCH(C$5&amp;"_"&amp;172,Tareas!$N$6:$N$205,0),1)&amp;" · "&amp;INDEX(Tareas!$D$6:$D$205,MATCH(C$5&amp;"_"&amp;172,Tareas!$N$6:$N$205,0),1)&amp;CHAR(10)&amp;INDEX(Tareas!$C$6:$C$205,MATCH(C$5&amp;"_"&amp;172,Tareas!$N$6:$N$205,0),1)&amp;CHAR(10)&amp;INDEX(Tareas!$E$6:$E$205,MATCH(C$5&amp;"_"&amp;172,Tareas!$N$6:$N$205,0),1)&amp;CHAR(10)&amp;INDEX(Tareas!$O$6:$O$205,MATCH(C$5&amp;"_"&amp;172,Tareas!$N$6:$N$205,0),1))</x:f>
      </x:c>
      <x:c r="D177" s="21" t="str">
        <x:f>IF(172&gt;D$4,"",INDEX(Tareas!$A$6:$A$205,MATCH(D$5&amp;"_"&amp;172,Tareas!$N$6:$N$205,0),1)&amp;" · "&amp;INDEX(Tareas!$D$6:$D$205,MATCH(D$5&amp;"_"&amp;172,Tareas!$N$6:$N$205,0),1)&amp;CHAR(10)&amp;INDEX(Tareas!$C$6:$C$205,MATCH(D$5&amp;"_"&amp;172,Tareas!$N$6:$N$205,0),1)&amp;CHAR(10)&amp;INDEX(Tareas!$E$6:$E$205,MATCH(D$5&amp;"_"&amp;172,Tareas!$N$6:$N$205,0),1)&amp;CHAR(10)&amp;INDEX(Tareas!$O$6:$O$205,MATCH(D$5&amp;"_"&amp;172,Tareas!$N$6:$N$205,0),1))</x:f>
      </x:c>
      <x:c r="E177" s="21" t="str">
        <x:f>IF(172&gt;E$4,"",INDEX(Tareas!$A$6:$A$205,MATCH(E$5&amp;"_"&amp;172,Tareas!$N$6:$N$205,0),1)&amp;" · "&amp;INDEX(Tareas!$D$6:$D$205,MATCH(E$5&amp;"_"&amp;172,Tareas!$N$6:$N$205,0),1)&amp;CHAR(10)&amp;INDEX(Tareas!$C$6:$C$205,MATCH(E$5&amp;"_"&amp;172,Tareas!$N$6:$N$205,0),1)&amp;CHAR(10)&amp;INDEX(Tareas!$E$6:$E$205,MATCH(E$5&amp;"_"&amp;172,Tareas!$N$6:$N$205,0),1)&amp;CHAR(10)&amp;INDEX(Tareas!$O$6:$O$205,MATCH(E$5&amp;"_"&amp;172,Tareas!$N$6:$N$205,0),1))</x:f>
      </x:c>
      <x:c r="F177" s="21" t="str">
        <x:f>IF(172&gt;F$4,"",INDEX(Tareas!$A$6:$A$205,MATCH(F$5&amp;"_"&amp;172,Tareas!$N$6:$N$205,0),1)&amp;" · "&amp;INDEX(Tareas!$D$6:$D$205,MATCH(F$5&amp;"_"&amp;172,Tareas!$N$6:$N$205,0),1)&amp;CHAR(10)&amp;INDEX(Tareas!$C$6:$C$205,MATCH(F$5&amp;"_"&amp;172,Tareas!$N$6:$N$205,0),1)&amp;CHAR(10)&amp;INDEX(Tareas!$E$6:$E$205,MATCH(F$5&amp;"_"&amp;172,Tareas!$N$6:$N$205,0),1)&amp;CHAR(10)&amp;INDEX(Tareas!$O$6:$O$205,MATCH(F$5&amp;"_"&amp;172,Tareas!$N$6:$N$205,0),1))</x:f>
      </x:c>
    </x:row>
    <x:row r="178" ht="76" customHeight="1">
      <x:c r="A178" s="21" t="str">
        <x:f>IF(173&gt;A$4,"",INDEX(Tareas!$A$6:$A$205,MATCH(A$5&amp;"_"&amp;173,Tareas!$N$6:$N$205,0),1)&amp;" · "&amp;INDEX(Tareas!$D$6:$D$205,MATCH(A$5&amp;"_"&amp;173,Tareas!$N$6:$N$205,0),1)&amp;CHAR(10)&amp;INDEX(Tareas!$C$6:$C$205,MATCH(A$5&amp;"_"&amp;173,Tareas!$N$6:$N$205,0),1)&amp;CHAR(10)&amp;INDEX(Tareas!$E$6:$E$205,MATCH(A$5&amp;"_"&amp;173,Tareas!$N$6:$N$205,0),1)&amp;CHAR(10)&amp;INDEX(Tareas!$O$6:$O$205,MATCH(A$5&amp;"_"&amp;173,Tareas!$N$6:$N$205,0),1))</x:f>
      </x:c>
      <x:c r="B178" s="21" t="str">
        <x:f>IF(173&gt;B$4,"",INDEX(Tareas!$A$6:$A$205,MATCH(B$5&amp;"_"&amp;173,Tareas!$N$6:$N$205,0),1)&amp;" · "&amp;INDEX(Tareas!$D$6:$D$205,MATCH(B$5&amp;"_"&amp;173,Tareas!$N$6:$N$205,0),1)&amp;CHAR(10)&amp;INDEX(Tareas!$C$6:$C$205,MATCH(B$5&amp;"_"&amp;173,Tareas!$N$6:$N$205,0),1)&amp;CHAR(10)&amp;INDEX(Tareas!$E$6:$E$205,MATCH(B$5&amp;"_"&amp;173,Tareas!$N$6:$N$205,0),1)&amp;CHAR(10)&amp;INDEX(Tareas!$O$6:$O$205,MATCH(B$5&amp;"_"&amp;173,Tareas!$N$6:$N$205,0),1))</x:f>
      </x:c>
      <x:c r="C178" s="21" t="str">
        <x:f>IF(173&gt;C$4,"",INDEX(Tareas!$A$6:$A$205,MATCH(C$5&amp;"_"&amp;173,Tareas!$N$6:$N$205,0),1)&amp;" · "&amp;INDEX(Tareas!$D$6:$D$205,MATCH(C$5&amp;"_"&amp;173,Tareas!$N$6:$N$205,0),1)&amp;CHAR(10)&amp;INDEX(Tareas!$C$6:$C$205,MATCH(C$5&amp;"_"&amp;173,Tareas!$N$6:$N$205,0),1)&amp;CHAR(10)&amp;INDEX(Tareas!$E$6:$E$205,MATCH(C$5&amp;"_"&amp;173,Tareas!$N$6:$N$205,0),1)&amp;CHAR(10)&amp;INDEX(Tareas!$O$6:$O$205,MATCH(C$5&amp;"_"&amp;173,Tareas!$N$6:$N$205,0),1))</x:f>
      </x:c>
      <x:c r="D178" s="21" t="str">
        <x:f>IF(173&gt;D$4,"",INDEX(Tareas!$A$6:$A$205,MATCH(D$5&amp;"_"&amp;173,Tareas!$N$6:$N$205,0),1)&amp;" · "&amp;INDEX(Tareas!$D$6:$D$205,MATCH(D$5&amp;"_"&amp;173,Tareas!$N$6:$N$205,0),1)&amp;CHAR(10)&amp;INDEX(Tareas!$C$6:$C$205,MATCH(D$5&amp;"_"&amp;173,Tareas!$N$6:$N$205,0),1)&amp;CHAR(10)&amp;INDEX(Tareas!$E$6:$E$205,MATCH(D$5&amp;"_"&amp;173,Tareas!$N$6:$N$205,0),1)&amp;CHAR(10)&amp;INDEX(Tareas!$O$6:$O$205,MATCH(D$5&amp;"_"&amp;173,Tareas!$N$6:$N$205,0),1))</x:f>
      </x:c>
      <x:c r="E178" s="21" t="str">
        <x:f>IF(173&gt;E$4,"",INDEX(Tareas!$A$6:$A$205,MATCH(E$5&amp;"_"&amp;173,Tareas!$N$6:$N$205,0),1)&amp;" · "&amp;INDEX(Tareas!$D$6:$D$205,MATCH(E$5&amp;"_"&amp;173,Tareas!$N$6:$N$205,0),1)&amp;CHAR(10)&amp;INDEX(Tareas!$C$6:$C$205,MATCH(E$5&amp;"_"&amp;173,Tareas!$N$6:$N$205,0),1)&amp;CHAR(10)&amp;INDEX(Tareas!$E$6:$E$205,MATCH(E$5&amp;"_"&amp;173,Tareas!$N$6:$N$205,0),1)&amp;CHAR(10)&amp;INDEX(Tareas!$O$6:$O$205,MATCH(E$5&amp;"_"&amp;173,Tareas!$N$6:$N$205,0),1))</x:f>
      </x:c>
      <x:c r="F178" s="21" t="str">
        <x:f>IF(173&gt;F$4,"",INDEX(Tareas!$A$6:$A$205,MATCH(F$5&amp;"_"&amp;173,Tareas!$N$6:$N$205,0),1)&amp;" · "&amp;INDEX(Tareas!$D$6:$D$205,MATCH(F$5&amp;"_"&amp;173,Tareas!$N$6:$N$205,0),1)&amp;CHAR(10)&amp;INDEX(Tareas!$C$6:$C$205,MATCH(F$5&amp;"_"&amp;173,Tareas!$N$6:$N$205,0),1)&amp;CHAR(10)&amp;INDEX(Tareas!$E$6:$E$205,MATCH(F$5&amp;"_"&amp;173,Tareas!$N$6:$N$205,0),1)&amp;CHAR(10)&amp;INDEX(Tareas!$O$6:$O$205,MATCH(F$5&amp;"_"&amp;173,Tareas!$N$6:$N$205,0),1))</x:f>
      </x:c>
    </x:row>
    <x:row r="179" ht="76" customHeight="1">
      <x:c r="A179" s="21" t="str">
        <x:f>IF(174&gt;A$4,"",INDEX(Tareas!$A$6:$A$205,MATCH(A$5&amp;"_"&amp;174,Tareas!$N$6:$N$205,0),1)&amp;" · "&amp;INDEX(Tareas!$D$6:$D$205,MATCH(A$5&amp;"_"&amp;174,Tareas!$N$6:$N$205,0),1)&amp;CHAR(10)&amp;INDEX(Tareas!$C$6:$C$205,MATCH(A$5&amp;"_"&amp;174,Tareas!$N$6:$N$205,0),1)&amp;CHAR(10)&amp;INDEX(Tareas!$E$6:$E$205,MATCH(A$5&amp;"_"&amp;174,Tareas!$N$6:$N$205,0),1)&amp;CHAR(10)&amp;INDEX(Tareas!$O$6:$O$205,MATCH(A$5&amp;"_"&amp;174,Tareas!$N$6:$N$205,0),1))</x:f>
      </x:c>
      <x:c r="B179" s="21" t="str">
        <x:f>IF(174&gt;B$4,"",INDEX(Tareas!$A$6:$A$205,MATCH(B$5&amp;"_"&amp;174,Tareas!$N$6:$N$205,0),1)&amp;" · "&amp;INDEX(Tareas!$D$6:$D$205,MATCH(B$5&amp;"_"&amp;174,Tareas!$N$6:$N$205,0),1)&amp;CHAR(10)&amp;INDEX(Tareas!$C$6:$C$205,MATCH(B$5&amp;"_"&amp;174,Tareas!$N$6:$N$205,0),1)&amp;CHAR(10)&amp;INDEX(Tareas!$E$6:$E$205,MATCH(B$5&amp;"_"&amp;174,Tareas!$N$6:$N$205,0),1)&amp;CHAR(10)&amp;INDEX(Tareas!$O$6:$O$205,MATCH(B$5&amp;"_"&amp;174,Tareas!$N$6:$N$205,0),1))</x:f>
      </x:c>
      <x:c r="C179" s="21" t="str">
        <x:f>IF(174&gt;C$4,"",INDEX(Tareas!$A$6:$A$205,MATCH(C$5&amp;"_"&amp;174,Tareas!$N$6:$N$205,0),1)&amp;" · "&amp;INDEX(Tareas!$D$6:$D$205,MATCH(C$5&amp;"_"&amp;174,Tareas!$N$6:$N$205,0),1)&amp;CHAR(10)&amp;INDEX(Tareas!$C$6:$C$205,MATCH(C$5&amp;"_"&amp;174,Tareas!$N$6:$N$205,0),1)&amp;CHAR(10)&amp;INDEX(Tareas!$E$6:$E$205,MATCH(C$5&amp;"_"&amp;174,Tareas!$N$6:$N$205,0),1)&amp;CHAR(10)&amp;INDEX(Tareas!$O$6:$O$205,MATCH(C$5&amp;"_"&amp;174,Tareas!$N$6:$N$205,0),1))</x:f>
      </x:c>
      <x:c r="D179" s="21" t="str">
        <x:f>IF(174&gt;D$4,"",INDEX(Tareas!$A$6:$A$205,MATCH(D$5&amp;"_"&amp;174,Tareas!$N$6:$N$205,0),1)&amp;" · "&amp;INDEX(Tareas!$D$6:$D$205,MATCH(D$5&amp;"_"&amp;174,Tareas!$N$6:$N$205,0),1)&amp;CHAR(10)&amp;INDEX(Tareas!$C$6:$C$205,MATCH(D$5&amp;"_"&amp;174,Tareas!$N$6:$N$205,0),1)&amp;CHAR(10)&amp;INDEX(Tareas!$E$6:$E$205,MATCH(D$5&amp;"_"&amp;174,Tareas!$N$6:$N$205,0),1)&amp;CHAR(10)&amp;INDEX(Tareas!$O$6:$O$205,MATCH(D$5&amp;"_"&amp;174,Tareas!$N$6:$N$205,0),1))</x:f>
      </x:c>
      <x:c r="E179" s="21" t="str">
        <x:f>IF(174&gt;E$4,"",INDEX(Tareas!$A$6:$A$205,MATCH(E$5&amp;"_"&amp;174,Tareas!$N$6:$N$205,0),1)&amp;" · "&amp;INDEX(Tareas!$D$6:$D$205,MATCH(E$5&amp;"_"&amp;174,Tareas!$N$6:$N$205,0),1)&amp;CHAR(10)&amp;INDEX(Tareas!$C$6:$C$205,MATCH(E$5&amp;"_"&amp;174,Tareas!$N$6:$N$205,0),1)&amp;CHAR(10)&amp;INDEX(Tareas!$E$6:$E$205,MATCH(E$5&amp;"_"&amp;174,Tareas!$N$6:$N$205,0),1)&amp;CHAR(10)&amp;INDEX(Tareas!$O$6:$O$205,MATCH(E$5&amp;"_"&amp;174,Tareas!$N$6:$N$205,0),1))</x:f>
      </x:c>
      <x:c r="F179" s="21" t="str">
        <x:f>IF(174&gt;F$4,"",INDEX(Tareas!$A$6:$A$205,MATCH(F$5&amp;"_"&amp;174,Tareas!$N$6:$N$205,0),1)&amp;" · "&amp;INDEX(Tareas!$D$6:$D$205,MATCH(F$5&amp;"_"&amp;174,Tareas!$N$6:$N$205,0),1)&amp;CHAR(10)&amp;INDEX(Tareas!$C$6:$C$205,MATCH(F$5&amp;"_"&amp;174,Tareas!$N$6:$N$205,0),1)&amp;CHAR(10)&amp;INDEX(Tareas!$E$6:$E$205,MATCH(F$5&amp;"_"&amp;174,Tareas!$N$6:$N$205,0),1)&amp;CHAR(10)&amp;INDEX(Tareas!$O$6:$O$205,MATCH(F$5&amp;"_"&amp;174,Tareas!$N$6:$N$205,0),1))</x:f>
      </x:c>
    </x:row>
    <x:row r="180" ht="76" customHeight="1">
      <x:c r="A180" s="21" t="str">
        <x:f>IF(175&gt;A$4,"",INDEX(Tareas!$A$6:$A$205,MATCH(A$5&amp;"_"&amp;175,Tareas!$N$6:$N$205,0),1)&amp;" · "&amp;INDEX(Tareas!$D$6:$D$205,MATCH(A$5&amp;"_"&amp;175,Tareas!$N$6:$N$205,0),1)&amp;CHAR(10)&amp;INDEX(Tareas!$C$6:$C$205,MATCH(A$5&amp;"_"&amp;175,Tareas!$N$6:$N$205,0),1)&amp;CHAR(10)&amp;INDEX(Tareas!$E$6:$E$205,MATCH(A$5&amp;"_"&amp;175,Tareas!$N$6:$N$205,0),1)&amp;CHAR(10)&amp;INDEX(Tareas!$O$6:$O$205,MATCH(A$5&amp;"_"&amp;175,Tareas!$N$6:$N$205,0),1))</x:f>
      </x:c>
      <x:c r="B180" s="21" t="str">
        <x:f>IF(175&gt;B$4,"",INDEX(Tareas!$A$6:$A$205,MATCH(B$5&amp;"_"&amp;175,Tareas!$N$6:$N$205,0),1)&amp;" · "&amp;INDEX(Tareas!$D$6:$D$205,MATCH(B$5&amp;"_"&amp;175,Tareas!$N$6:$N$205,0),1)&amp;CHAR(10)&amp;INDEX(Tareas!$C$6:$C$205,MATCH(B$5&amp;"_"&amp;175,Tareas!$N$6:$N$205,0),1)&amp;CHAR(10)&amp;INDEX(Tareas!$E$6:$E$205,MATCH(B$5&amp;"_"&amp;175,Tareas!$N$6:$N$205,0),1)&amp;CHAR(10)&amp;INDEX(Tareas!$O$6:$O$205,MATCH(B$5&amp;"_"&amp;175,Tareas!$N$6:$N$205,0),1))</x:f>
      </x:c>
      <x:c r="C180" s="21" t="str">
        <x:f>IF(175&gt;C$4,"",INDEX(Tareas!$A$6:$A$205,MATCH(C$5&amp;"_"&amp;175,Tareas!$N$6:$N$205,0),1)&amp;" · "&amp;INDEX(Tareas!$D$6:$D$205,MATCH(C$5&amp;"_"&amp;175,Tareas!$N$6:$N$205,0),1)&amp;CHAR(10)&amp;INDEX(Tareas!$C$6:$C$205,MATCH(C$5&amp;"_"&amp;175,Tareas!$N$6:$N$205,0),1)&amp;CHAR(10)&amp;INDEX(Tareas!$E$6:$E$205,MATCH(C$5&amp;"_"&amp;175,Tareas!$N$6:$N$205,0),1)&amp;CHAR(10)&amp;INDEX(Tareas!$O$6:$O$205,MATCH(C$5&amp;"_"&amp;175,Tareas!$N$6:$N$205,0),1))</x:f>
      </x:c>
      <x:c r="D180" s="21" t="str">
        <x:f>IF(175&gt;D$4,"",INDEX(Tareas!$A$6:$A$205,MATCH(D$5&amp;"_"&amp;175,Tareas!$N$6:$N$205,0),1)&amp;" · "&amp;INDEX(Tareas!$D$6:$D$205,MATCH(D$5&amp;"_"&amp;175,Tareas!$N$6:$N$205,0),1)&amp;CHAR(10)&amp;INDEX(Tareas!$C$6:$C$205,MATCH(D$5&amp;"_"&amp;175,Tareas!$N$6:$N$205,0),1)&amp;CHAR(10)&amp;INDEX(Tareas!$E$6:$E$205,MATCH(D$5&amp;"_"&amp;175,Tareas!$N$6:$N$205,0),1)&amp;CHAR(10)&amp;INDEX(Tareas!$O$6:$O$205,MATCH(D$5&amp;"_"&amp;175,Tareas!$N$6:$N$205,0),1))</x:f>
      </x:c>
      <x:c r="E180" s="21" t="str">
        <x:f>IF(175&gt;E$4,"",INDEX(Tareas!$A$6:$A$205,MATCH(E$5&amp;"_"&amp;175,Tareas!$N$6:$N$205,0),1)&amp;" · "&amp;INDEX(Tareas!$D$6:$D$205,MATCH(E$5&amp;"_"&amp;175,Tareas!$N$6:$N$205,0),1)&amp;CHAR(10)&amp;INDEX(Tareas!$C$6:$C$205,MATCH(E$5&amp;"_"&amp;175,Tareas!$N$6:$N$205,0),1)&amp;CHAR(10)&amp;INDEX(Tareas!$E$6:$E$205,MATCH(E$5&amp;"_"&amp;175,Tareas!$N$6:$N$205,0),1)&amp;CHAR(10)&amp;INDEX(Tareas!$O$6:$O$205,MATCH(E$5&amp;"_"&amp;175,Tareas!$N$6:$N$205,0),1))</x:f>
      </x:c>
      <x:c r="F180" s="21" t="str">
        <x:f>IF(175&gt;F$4,"",INDEX(Tareas!$A$6:$A$205,MATCH(F$5&amp;"_"&amp;175,Tareas!$N$6:$N$205,0),1)&amp;" · "&amp;INDEX(Tareas!$D$6:$D$205,MATCH(F$5&amp;"_"&amp;175,Tareas!$N$6:$N$205,0),1)&amp;CHAR(10)&amp;INDEX(Tareas!$C$6:$C$205,MATCH(F$5&amp;"_"&amp;175,Tareas!$N$6:$N$205,0),1)&amp;CHAR(10)&amp;INDEX(Tareas!$E$6:$E$205,MATCH(F$5&amp;"_"&amp;175,Tareas!$N$6:$N$205,0),1)&amp;CHAR(10)&amp;INDEX(Tareas!$O$6:$O$205,MATCH(F$5&amp;"_"&amp;175,Tareas!$N$6:$N$205,0),1))</x:f>
      </x:c>
    </x:row>
    <x:row r="181" ht="76" customHeight="1">
      <x:c r="A181" s="21" t="str">
        <x:f>IF(176&gt;A$4,"",INDEX(Tareas!$A$6:$A$205,MATCH(A$5&amp;"_"&amp;176,Tareas!$N$6:$N$205,0),1)&amp;" · "&amp;INDEX(Tareas!$D$6:$D$205,MATCH(A$5&amp;"_"&amp;176,Tareas!$N$6:$N$205,0),1)&amp;CHAR(10)&amp;INDEX(Tareas!$C$6:$C$205,MATCH(A$5&amp;"_"&amp;176,Tareas!$N$6:$N$205,0),1)&amp;CHAR(10)&amp;INDEX(Tareas!$E$6:$E$205,MATCH(A$5&amp;"_"&amp;176,Tareas!$N$6:$N$205,0),1)&amp;CHAR(10)&amp;INDEX(Tareas!$O$6:$O$205,MATCH(A$5&amp;"_"&amp;176,Tareas!$N$6:$N$205,0),1))</x:f>
      </x:c>
      <x:c r="B181" s="21" t="str">
        <x:f>IF(176&gt;B$4,"",INDEX(Tareas!$A$6:$A$205,MATCH(B$5&amp;"_"&amp;176,Tareas!$N$6:$N$205,0),1)&amp;" · "&amp;INDEX(Tareas!$D$6:$D$205,MATCH(B$5&amp;"_"&amp;176,Tareas!$N$6:$N$205,0),1)&amp;CHAR(10)&amp;INDEX(Tareas!$C$6:$C$205,MATCH(B$5&amp;"_"&amp;176,Tareas!$N$6:$N$205,0),1)&amp;CHAR(10)&amp;INDEX(Tareas!$E$6:$E$205,MATCH(B$5&amp;"_"&amp;176,Tareas!$N$6:$N$205,0),1)&amp;CHAR(10)&amp;INDEX(Tareas!$O$6:$O$205,MATCH(B$5&amp;"_"&amp;176,Tareas!$N$6:$N$205,0),1))</x:f>
      </x:c>
      <x:c r="C181" s="21" t="str">
        <x:f>IF(176&gt;C$4,"",INDEX(Tareas!$A$6:$A$205,MATCH(C$5&amp;"_"&amp;176,Tareas!$N$6:$N$205,0),1)&amp;" · "&amp;INDEX(Tareas!$D$6:$D$205,MATCH(C$5&amp;"_"&amp;176,Tareas!$N$6:$N$205,0),1)&amp;CHAR(10)&amp;INDEX(Tareas!$C$6:$C$205,MATCH(C$5&amp;"_"&amp;176,Tareas!$N$6:$N$205,0),1)&amp;CHAR(10)&amp;INDEX(Tareas!$E$6:$E$205,MATCH(C$5&amp;"_"&amp;176,Tareas!$N$6:$N$205,0),1)&amp;CHAR(10)&amp;INDEX(Tareas!$O$6:$O$205,MATCH(C$5&amp;"_"&amp;176,Tareas!$N$6:$N$205,0),1))</x:f>
      </x:c>
      <x:c r="D181" s="21" t="str">
        <x:f>IF(176&gt;D$4,"",INDEX(Tareas!$A$6:$A$205,MATCH(D$5&amp;"_"&amp;176,Tareas!$N$6:$N$205,0),1)&amp;" · "&amp;INDEX(Tareas!$D$6:$D$205,MATCH(D$5&amp;"_"&amp;176,Tareas!$N$6:$N$205,0),1)&amp;CHAR(10)&amp;INDEX(Tareas!$C$6:$C$205,MATCH(D$5&amp;"_"&amp;176,Tareas!$N$6:$N$205,0),1)&amp;CHAR(10)&amp;INDEX(Tareas!$E$6:$E$205,MATCH(D$5&amp;"_"&amp;176,Tareas!$N$6:$N$205,0),1)&amp;CHAR(10)&amp;INDEX(Tareas!$O$6:$O$205,MATCH(D$5&amp;"_"&amp;176,Tareas!$N$6:$N$205,0),1))</x:f>
      </x:c>
      <x:c r="E181" s="21" t="str">
        <x:f>IF(176&gt;E$4,"",INDEX(Tareas!$A$6:$A$205,MATCH(E$5&amp;"_"&amp;176,Tareas!$N$6:$N$205,0),1)&amp;" · "&amp;INDEX(Tareas!$D$6:$D$205,MATCH(E$5&amp;"_"&amp;176,Tareas!$N$6:$N$205,0),1)&amp;CHAR(10)&amp;INDEX(Tareas!$C$6:$C$205,MATCH(E$5&amp;"_"&amp;176,Tareas!$N$6:$N$205,0),1)&amp;CHAR(10)&amp;INDEX(Tareas!$E$6:$E$205,MATCH(E$5&amp;"_"&amp;176,Tareas!$N$6:$N$205,0),1)&amp;CHAR(10)&amp;INDEX(Tareas!$O$6:$O$205,MATCH(E$5&amp;"_"&amp;176,Tareas!$N$6:$N$205,0),1))</x:f>
      </x:c>
      <x:c r="F181" s="21" t="str">
        <x:f>IF(176&gt;F$4,"",INDEX(Tareas!$A$6:$A$205,MATCH(F$5&amp;"_"&amp;176,Tareas!$N$6:$N$205,0),1)&amp;" · "&amp;INDEX(Tareas!$D$6:$D$205,MATCH(F$5&amp;"_"&amp;176,Tareas!$N$6:$N$205,0),1)&amp;CHAR(10)&amp;INDEX(Tareas!$C$6:$C$205,MATCH(F$5&amp;"_"&amp;176,Tareas!$N$6:$N$205,0),1)&amp;CHAR(10)&amp;INDEX(Tareas!$E$6:$E$205,MATCH(F$5&amp;"_"&amp;176,Tareas!$N$6:$N$205,0),1)&amp;CHAR(10)&amp;INDEX(Tareas!$O$6:$O$205,MATCH(F$5&amp;"_"&amp;176,Tareas!$N$6:$N$205,0),1))</x:f>
      </x:c>
    </x:row>
    <x:row r="182" ht="76" customHeight="1">
      <x:c r="A182" s="21" t="str">
        <x:f>IF(177&gt;A$4,"",INDEX(Tareas!$A$6:$A$205,MATCH(A$5&amp;"_"&amp;177,Tareas!$N$6:$N$205,0),1)&amp;" · "&amp;INDEX(Tareas!$D$6:$D$205,MATCH(A$5&amp;"_"&amp;177,Tareas!$N$6:$N$205,0),1)&amp;CHAR(10)&amp;INDEX(Tareas!$C$6:$C$205,MATCH(A$5&amp;"_"&amp;177,Tareas!$N$6:$N$205,0),1)&amp;CHAR(10)&amp;INDEX(Tareas!$E$6:$E$205,MATCH(A$5&amp;"_"&amp;177,Tareas!$N$6:$N$205,0),1)&amp;CHAR(10)&amp;INDEX(Tareas!$O$6:$O$205,MATCH(A$5&amp;"_"&amp;177,Tareas!$N$6:$N$205,0),1))</x:f>
      </x:c>
      <x:c r="B182" s="21" t="str">
        <x:f>IF(177&gt;B$4,"",INDEX(Tareas!$A$6:$A$205,MATCH(B$5&amp;"_"&amp;177,Tareas!$N$6:$N$205,0),1)&amp;" · "&amp;INDEX(Tareas!$D$6:$D$205,MATCH(B$5&amp;"_"&amp;177,Tareas!$N$6:$N$205,0),1)&amp;CHAR(10)&amp;INDEX(Tareas!$C$6:$C$205,MATCH(B$5&amp;"_"&amp;177,Tareas!$N$6:$N$205,0),1)&amp;CHAR(10)&amp;INDEX(Tareas!$E$6:$E$205,MATCH(B$5&amp;"_"&amp;177,Tareas!$N$6:$N$205,0),1)&amp;CHAR(10)&amp;INDEX(Tareas!$O$6:$O$205,MATCH(B$5&amp;"_"&amp;177,Tareas!$N$6:$N$205,0),1))</x:f>
      </x:c>
      <x:c r="C182" s="21" t="str">
        <x:f>IF(177&gt;C$4,"",INDEX(Tareas!$A$6:$A$205,MATCH(C$5&amp;"_"&amp;177,Tareas!$N$6:$N$205,0),1)&amp;" · "&amp;INDEX(Tareas!$D$6:$D$205,MATCH(C$5&amp;"_"&amp;177,Tareas!$N$6:$N$205,0),1)&amp;CHAR(10)&amp;INDEX(Tareas!$C$6:$C$205,MATCH(C$5&amp;"_"&amp;177,Tareas!$N$6:$N$205,0),1)&amp;CHAR(10)&amp;INDEX(Tareas!$E$6:$E$205,MATCH(C$5&amp;"_"&amp;177,Tareas!$N$6:$N$205,0),1)&amp;CHAR(10)&amp;INDEX(Tareas!$O$6:$O$205,MATCH(C$5&amp;"_"&amp;177,Tareas!$N$6:$N$205,0),1))</x:f>
      </x:c>
      <x:c r="D182" s="21" t="str">
        <x:f>IF(177&gt;D$4,"",INDEX(Tareas!$A$6:$A$205,MATCH(D$5&amp;"_"&amp;177,Tareas!$N$6:$N$205,0),1)&amp;" · "&amp;INDEX(Tareas!$D$6:$D$205,MATCH(D$5&amp;"_"&amp;177,Tareas!$N$6:$N$205,0),1)&amp;CHAR(10)&amp;INDEX(Tareas!$C$6:$C$205,MATCH(D$5&amp;"_"&amp;177,Tareas!$N$6:$N$205,0),1)&amp;CHAR(10)&amp;INDEX(Tareas!$E$6:$E$205,MATCH(D$5&amp;"_"&amp;177,Tareas!$N$6:$N$205,0),1)&amp;CHAR(10)&amp;INDEX(Tareas!$O$6:$O$205,MATCH(D$5&amp;"_"&amp;177,Tareas!$N$6:$N$205,0),1))</x:f>
      </x:c>
      <x:c r="E182" s="21" t="str">
        <x:f>IF(177&gt;E$4,"",INDEX(Tareas!$A$6:$A$205,MATCH(E$5&amp;"_"&amp;177,Tareas!$N$6:$N$205,0),1)&amp;" · "&amp;INDEX(Tareas!$D$6:$D$205,MATCH(E$5&amp;"_"&amp;177,Tareas!$N$6:$N$205,0),1)&amp;CHAR(10)&amp;INDEX(Tareas!$C$6:$C$205,MATCH(E$5&amp;"_"&amp;177,Tareas!$N$6:$N$205,0),1)&amp;CHAR(10)&amp;INDEX(Tareas!$E$6:$E$205,MATCH(E$5&amp;"_"&amp;177,Tareas!$N$6:$N$205,0),1)&amp;CHAR(10)&amp;INDEX(Tareas!$O$6:$O$205,MATCH(E$5&amp;"_"&amp;177,Tareas!$N$6:$N$205,0),1))</x:f>
      </x:c>
      <x:c r="F182" s="21" t="str">
        <x:f>IF(177&gt;F$4,"",INDEX(Tareas!$A$6:$A$205,MATCH(F$5&amp;"_"&amp;177,Tareas!$N$6:$N$205,0),1)&amp;" · "&amp;INDEX(Tareas!$D$6:$D$205,MATCH(F$5&amp;"_"&amp;177,Tareas!$N$6:$N$205,0),1)&amp;CHAR(10)&amp;INDEX(Tareas!$C$6:$C$205,MATCH(F$5&amp;"_"&amp;177,Tareas!$N$6:$N$205,0),1)&amp;CHAR(10)&amp;INDEX(Tareas!$E$6:$E$205,MATCH(F$5&amp;"_"&amp;177,Tareas!$N$6:$N$205,0),1)&amp;CHAR(10)&amp;INDEX(Tareas!$O$6:$O$205,MATCH(F$5&amp;"_"&amp;177,Tareas!$N$6:$N$205,0),1))</x:f>
      </x:c>
    </x:row>
    <x:row r="183" ht="76" customHeight="1">
      <x:c r="A183" s="21" t="str">
        <x:f>IF(178&gt;A$4,"",INDEX(Tareas!$A$6:$A$205,MATCH(A$5&amp;"_"&amp;178,Tareas!$N$6:$N$205,0),1)&amp;" · "&amp;INDEX(Tareas!$D$6:$D$205,MATCH(A$5&amp;"_"&amp;178,Tareas!$N$6:$N$205,0),1)&amp;CHAR(10)&amp;INDEX(Tareas!$C$6:$C$205,MATCH(A$5&amp;"_"&amp;178,Tareas!$N$6:$N$205,0),1)&amp;CHAR(10)&amp;INDEX(Tareas!$E$6:$E$205,MATCH(A$5&amp;"_"&amp;178,Tareas!$N$6:$N$205,0),1)&amp;CHAR(10)&amp;INDEX(Tareas!$O$6:$O$205,MATCH(A$5&amp;"_"&amp;178,Tareas!$N$6:$N$205,0),1))</x:f>
      </x:c>
      <x:c r="B183" s="21" t="str">
        <x:f>IF(178&gt;B$4,"",INDEX(Tareas!$A$6:$A$205,MATCH(B$5&amp;"_"&amp;178,Tareas!$N$6:$N$205,0),1)&amp;" · "&amp;INDEX(Tareas!$D$6:$D$205,MATCH(B$5&amp;"_"&amp;178,Tareas!$N$6:$N$205,0),1)&amp;CHAR(10)&amp;INDEX(Tareas!$C$6:$C$205,MATCH(B$5&amp;"_"&amp;178,Tareas!$N$6:$N$205,0),1)&amp;CHAR(10)&amp;INDEX(Tareas!$E$6:$E$205,MATCH(B$5&amp;"_"&amp;178,Tareas!$N$6:$N$205,0),1)&amp;CHAR(10)&amp;INDEX(Tareas!$O$6:$O$205,MATCH(B$5&amp;"_"&amp;178,Tareas!$N$6:$N$205,0),1))</x:f>
      </x:c>
      <x:c r="C183" s="21" t="str">
        <x:f>IF(178&gt;C$4,"",INDEX(Tareas!$A$6:$A$205,MATCH(C$5&amp;"_"&amp;178,Tareas!$N$6:$N$205,0),1)&amp;" · "&amp;INDEX(Tareas!$D$6:$D$205,MATCH(C$5&amp;"_"&amp;178,Tareas!$N$6:$N$205,0),1)&amp;CHAR(10)&amp;INDEX(Tareas!$C$6:$C$205,MATCH(C$5&amp;"_"&amp;178,Tareas!$N$6:$N$205,0),1)&amp;CHAR(10)&amp;INDEX(Tareas!$E$6:$E$205,MATCH(C$5&amp;"_"&amp;178,Tareas!$N$6:$N$205,0),1)&amp;CHAR(10)&amp;INDEX(Tareas!$O$6:$O$205,MATCH(C$5&amp;"_"&amp;178,Tareas!$N$6:$N$205,0),1))</x:f>
      </x:c>
      <x:c r="D183" s="21" t="str">
        <x:f>IF(178&gt;D$4,"",INDEX(Tareas!$A$6:$A$205,MATCH(D$5&amp;"_"&amp;178,Tareas!$N$6:$N$205,0),1)&amp;" · "&amp;INDEX(Tareas!$D$6:$D$205,MATCH(D$5&amp;"_"&amp;178,Tareas!$N$6:$N$205,0),1)&amp;CHAR(10)&amp;INDEX(Tareas!$C$6:$C$205,MATCH(D$5&amp;"_"&amp;178,Tareas!$N$6:$N$205,0),1)&amp;CHAR(10)&amp;INDEX(Tareas!$E$6:$E$205,MATCH(D$5&amp;"_"&amp;178,Tareas!$N$6:$N$205,0),1)&amp;CHAR(10)&amp;INDEX(Tareas!$O$6:$O$205,MATCH(D$5&amp;"_"&amp;178,Tareas!$N$6:$N$205,0),1))</x:f>
      </x:c>
      <x:c r="E183" s="21" t="str">
        <x:f>IF(178&gt;E$4,"",INDEX(Tareas!$A$6:$A$205,MATCH(E$5&amp;"_"&amp;178,Tareas!$N$6:$N$205,0),1)&amp;" · "&amp;INDEX(Tareas!$D$6:$D$205,MATCH(E$5&amp;"_"&amp;178,Tareas!$N$6:$N$205,0),1)&amp;CHAR(10)&amp;INDEX(Tareas!$C$6:$C$205,MATCH(E$5&amp;"_"&amp;178,Tareas!$N$6:$N$205,0),1)&amp;CHAR(10)&amp;INDEX(Tareas!$E$6:$E$205,MATCH(E$5&amp;"_"&amp;178,Tareas!$N$6:$N$205,0),1)&amp;CHAR(10)&amp;INDEX(Tareas!$O$6:$O$205,MATCH(E$5&amp;"_"&amp;178,Tareas!$N$6:$N$205,0),1))</x:f>
      </x:c>
      <x:c r="F183" s="21" t="str">
        <x:f>IF(178&gt;F$4,"",INDEX(Tareas!$A$6:$A$205,MATCH(F$5&amp;"_"&amp;178,Tareas!$N$6:$N$205,0),1)&amp;" · "&amp;INDEX(Tareas!$D$6:$D$205,MATCH(F$5&amp;"_"&amp;178,Tareas!$N$6:$N$205,0),1)&amp;CHAR(10)&amp;INDEX(Tareas!$C$6:$C$205,MATCH(F$5&amp;"_"&amp;178,Tareas!$N$6:$N$205,0),1)&amp;CHAR(10)&amp;INDEX(Tareas!$E$6:$E$205,MATCH(F$5&amp;"_"&amp;178,Tareas!$N$6:$N$205,0),1)&amp;CHAR(10)&amp;INDEX(Tareas!$O$6:$O$205,MATCH(F$5&amp;"_"&amp;178,Tareas!$N$6:$N$205,0),1))</x:f>
      </x:c>
    </x:row>
    <x:row r="184" ht="76" customHeight="1">
      <x:c r="A184" s="21" t="str">
        <x:f>IF(179&gt;A$4,"",INDEX(Tareas!$A$6:$A$205,MATCH(A$5&amp;"_"&amp;179,Tareas!$N$6:$N$205,0),1)&amp;" · "&amp;INDEX(Tareas!$D$6:$D$205,MATCH(A$5&amp;"_"&amp;179,Tareas!$N$6:$N$205,0),1)&amp;CHAR(10)&amp;INDEX(Tareas!$C$6:$C$205,MATCH(A$5&amp;"_"&amp;179,Tareas!$N$6:$N$205,0),1)&amp;CHAR(10)&amp;INDEX(Tareas!$E$6:$E$205,MATCH(A$5&amp;"_"&amp;179,Tareas!$N$6:$N$205,0),1)&amp;CHAR(10)&amp;INDEX(Tareas!$O$6:$O$205,MATCH(A$5&amp;"_"&amp;179,Tareas!$N$6:$N$205,0),1))</x:f>
      </x:c>
      <x:c r="B184" s="21" t="str">
        <x:f>IF(179&gt;B$4,"",INDEX(Tareas!$A$6:$A$205,MATCH(B$5&amp;"_"&amp;179,Tareas!$N$6:$N$205,0),1)&amp;" · "&amp;INDEX(Tareas!$D$6:$D$205,MATCH(B$5&amp;"_"&amp;179,Tareas!$N$6:$N$205,0),1)&amp;CHAR(10)&amp;INDEX(Tareas!$C$6:$C$205,MATCH(B$5&amp;"_"&amp;179,Tareas!$N$6:$N$205,0),1)&amp;CHAR(10)&amp;INDEX(Tareas!$E$6:$E$205,MATCH(B$5&amp;"_"&amp;179,Tareas!$N$6:$N$205,0),1)&amp;CHAR(10)&amp;INDEX(Tareas!$O$6:$O$205,MATCH(B$5&amp;"_"&amp;179,Tareas!$N$6:$N$205,0),1))</x:f>
      </x:c>
      <x:c r="C184" s="21" t="str">
        <x:f>IF(179&gt;C$4,"",INDEX(Tareas!$A$6:$A$205,MATCH(C$5&amp;"_"&amp;179,Tareas!$N$6:$N$205,0),1)&amp;" · "&amp;INDEX(Tareas!$D$6:$D$205,MATCH(C$5&amp;"_"&amp;179,Tareas!$N$6:$N$205,0),1)&amp;CHAR(10)&amp;INDEX(Tareas!$C$6:$C$205,MATCH(C$5&amp;"_"&amp;179,Tareas!$N$6:$N$205,0),1)&amp;CHAR(10)&amp;INDEX(Tareas!$E$6:$E$205,MATCH(C$5&amp;"_"&amp;179,Tareas!$N$6:$N$205,0),1)&amp;CHAR(10)&amp;INDEX(Tareas!$O$6:$O$205,MATCH(C$5&amp;"_"&amp;179,Tareas!$N$6:$N$205,0),1))</x:f>
      </x:c>
      <x:c r="D184" s="21" t="str">
        <x:f>IF(179&gt;D$4,"",INDEX(Tareas!$A$6:$A$205,MATCH(D$5&amp;"_"&amp;179,Tareas!$N$6:$N$205,0),1)&amp;" · "&amp;INDEX(Tareas!$D$6:$D$205,MATCH(D$5&amp;"_"&amp;179,Tareas!$N$6:$N$205,0),1)&amp;CHAR(10)&amp;INDEX(Tareas!$C$6:$C$205,MATCH(D$5&amp;"_"&amp;179,Tareas!$N$6:$N$205,0),1)&amp;CHAR(10)&amp;INDEX(Tareas!$E$6:$E$205,MATCH(D$5&amp;"_"&amp;179,Tareas!$N$6:$N$205,0),1)&amp;CHAR(10)&amp;INDEX(Tareas!$O$6:$O$205,MATCH(D$5&amp;"_"&amp;179,Tareas!$N$6:$N$205,0),1))</x:f>
      </x:c>
      <x:c r="E184" s="21" t="str">
        <x:f>IF(179&gt;E$4,"",INDEX(Tareas!$A$6:$A$205,MATCH(E$5&amp;"_"&amp;179,Tareas!$N$6:$N$205,0),1)&amp;" · "&amp;INDEX(Tareas!$D$6:$D$205,MATCH(E$5&amp;"_"&amp;179,Tareas!$N$6:$N$205,0),1)&amp;CHAR(10)&amp;INDEX(Tareas!$C$6:$C$205,MATCH(E$5&amp;"_"&amp;179,Tareas!$N$6:$N$205,0),1)&amp;CHAR(10)&amp;INDEX(Tareas!$E$6:$E$205,MATCH(E$5&amp;"_"&amp;179,Tareas!$N$6:$N$205,0),1)&amp;CHAR(10)&amp;INDEX(Tareas!$O$6:$O$205,MATCH(E$5&amp;"_"&amp;179,Tareas!$N$6:$N$205,0),1))</x:f>
      </x:c>
      <x:c r="F184" s="21" t="str">
        <x:f>IF(179&gt;F$4,"",INDEX(Tareas!$A$6:$A$205,MATCH(F$5&amp;"_"&amp;179,Tareas!$N$6:$N$205,0),1)&amp;" · "&amp;INDEX(Tareas!$D$6:$D$205,MATCH(F$5&amp;"_"&amp;179,Tareas!$N$6:$N$205,0),1)&amp;CHAR(10)&amp;INDEX(Tareas!$C$6:$C$205,MATCH(F$5&amp;"_"&amp;179,Tareas!$N$6:$N$205,0),1)&amp;CHAR(10)&amp;INDEX(Tareas!$E$6:$E$205,MATCH(F$5&amp;"_"&amp;179,Tareas!$N$6:$N$205,0),1)&amp;CHAR(10)&amp;INDEX(Tareas!$O$6:$O$205,MATCH(F$5&amp;"_"&amp;179,Tareas!$N$6:$N$205,0),1))</x:f>
      </x:c>
    </x:row>
    <x:row r="185" ht="76" customHeight="1">
      <x:c r="A185" s="21" t="str">
        <x:f>IF(180&gt;A$4,"",INDEX(Tareas!$A$6:$A$205,MATCH(A$5&amp;"_"&amp;180,Tareas!$N$6:$N$205,0),1)&amp;" · "&amp;INDEX(Tareas!$D$6:$D$205,MATCH(A$5&amp;"_"&amp;180,Tareas!$N$6:$N$205,0),1)&amp;CHAR(10)&amp;INDEX(Tareas!$C$6:$C$205,MATCH(A$5&amp;"_"&amp;180,Tareas!$N$6:$N$205,0),1)&amp;CHAR(10)&amp;INDEX(Tareas!$E$6:$E$205,MATCH(A$5&amp;"_"&amp;180,Tareas!$N$6:$N$205,0),1)&amp;CHAR(10)&amp;INDEX(Tareas!$O$6:$O$205,MATCH(A$5&amp;"_"&amp;180,Tareas!$N$6:$N$205,0),1))</x:f>
      </x:c>
      <x:c r="B185" s="21" t="str">
        <x:f>IF(180&gt;B$4,"",INDEX(Tareas!$A$6:$A$205,MATCH(B$5&amp;"_"&amp;180,Tareas!$N$6:$N$205,0),1)&amp;" · "&amp;INDEX(Tareas!$D$6:$D$205,MATCH(B$5&amp;"_"&amp;180,Tareas!$N$6:$N$205,0),1)&amp;CHAR(10)&amp;INDEX(Tareas!$C$6:$C$205,MATCH(B$5&amp;"_"&amp;180,Tareas!$N$6:$N$205,0),1)&amp;CHAR(10)&amp;INDEX(Tareas!$E$6:$E$205,MATCH(B$5&amp;"_"&amp;180,Tareas!$N$6:$N$205,0),1)&amp;CHAR(10)&amp;INDEX(Tareas!$O$6:$O$205,MATCH(B$5&amp;"_"&amp;180,Tareas!$N$6:$N$205,0),1))</x:f>
      </x:c>
      <x:c r="C185" s="21" t="str">
        <x:f>IF(180&gt;C$4,"",INDEX(Tareas!$A$6:$A$205,MATCH(C$5&amp;"_"&amp;180,Tareas!$N$6:$N$205,0),1)&amp;" · "&amp;INDEX(Tareas!$D$6:$D$205,MATCH(C$5&amp;"_"&amp;180,Tareas!$N$6:$N$205,0),1)&amp;CHAR(10)&amp;INDEX(Tareas!$C$6:$C$205,MATCH(C$5&amp;"_"&amp;180,Tareas!$N$6:$N$205,0),1)&amp;CHAR(10)&amp;INDEX(Tareas!$E$6:$E$205,MATCH(C$5&amp;"_"&amp;180,Tareas!$N$6:$N$205,0),1)&amp;CHAR(10)&amp;INDEX(Tareas!$O$6:$O$205,MATCH(C$5&amp;"_"&amp;180,Tareas!$N$6:$N$205,0),1))</x:f>
      </x:c>
      <x:c r="D185" s="21" t="str">
        <x:f>IF(180&gt;D$4,"",INDEX(Tareas!$A$6:$A$205,MATCH(D$5&amp;"_"&amp;180,Tareas!$N$6:$N$205,0),1)&amp;" · "&amp;INDEX(Tareas!$D$6:$D$205,MATCH(D$5&amp;"_"&amp;180,Tareas!$N$6:$N$205,0),1)&amp;CHAR(10)&amp;INDEX(Tareas!$C$6:$C$205,MATCH(D$5&amp;"_"&amp;180,Tareas!$N$6:$N$205,0),1)&amp;CHAR(10)&amp;INDEX(Tareas!$E$6:$E$205,MATCH(D$5&amp;"_"&amp;180,Tareas!$N$6:$N$205,0),1)&amp;CHAR(10)&amp;INDEX(Tareas!$O$6:$O$205,MATCH(D$5&amp;"_"&amp;180,Tareas!$N$6:$N$205,0),1))</x:f>
      </x:c>
      <x:c r="E185" s="21" t="str">
        <x:f>IF(180&gt;E$4,"",INDEX(Tareas!$A$6:$A$205,MATCH(E$5&amp;"_"&amp;180,Tareas!$N$6:$N$205,0),1)&amp;" · "&amp;INDEX(Tareas!$D$6:$D$205,MATCH(E$5&amp;"_"&amp;180,Tareas!$N$6:$N$205,0),1)&amp;CHAR(10)&amp;INDEX(Tareas!$C$6:$C$205,MATCH(E$5&amp;"_"&amp;180,Tareas!$N$6:$N$205,0),1)&amp;CHAR(10)&amp;INDEX(Tareas!$E$6:$E$205,MATCH(E$5&amp;"_"&amp;180,Tareas!$N$6:$N$205,0),1)&amp;CHAR(10)&amp;INDEX(Tareas!$O$6:$O$205,MATCH(E$5&amp;"_"&amp;180,Tareas!$N$6:$N$205,0),1))</x:f>
      </x:c>
      <x:c r="F185" s="21" t="str">
        <x:f>IF(180&gt;F$4,"",INDEX(Tareas!$A$6:$A$205,MATCH(F$5&amp;"_"&amp;180,Tareas!$N$6:$N$205,0),1)&amp;" · "&amp;INDEX(Tareas!$D$6:$D$205,MATCH(F$5&amp;"_"&amp;180,Tareas!$N$6:$N$205,0),1)&amp;CHAR(10)&amp;INDEX(Tareas!$C$6:$C$205,MATCH(F$5&amp;"_"&amp;180,Tareas!$N$6:$N$205,0),1)&amp;CHAR(10)&amp;INDEX(Tareas!$E$6:$E$205,MATCH(F$5&amp;"_"&amp;180,Tareas!$N$6:$N$205,0),1)&amp;CHAR(10)&amp;INDEX(Tareas!$O$6:$O$205,MATCH(F$5&amp;"_"&amp;180,Tareas!$N$6:$N$205,0),1))</x:f>
      </x:c>
    </x:row>
    <x:row r="186" ht="76" customHeight="1">
      <x:c r="A186" s="21" t="str">
        <x:f>IF(181&gt;A$4,"",INDEX(Tareas!$A$6:$A$205,MATCH(A$5&amp;"_"&amp;181,Tareas!$N$6:$N$205,0),1)&amp;" · "&amp;INDEX(Tareas!$D$6:$D$205,MATCH(A$5&amp;"_"&amp;181,Tareas!$N$6:$N$205,0),1)&amp;CHAR(10)&amp;INDEX(Tareas!$C$6:$C$205,MATCH(A$5&amp;"_"&amp;181,Tareas!$N$6:$N$205,0),1)&amp;CHAR(10)&amp;INDEX(Tareas!$E$6:$E$205,MATCH(A$5&amp;"_"&amp;181,Tareas!$N$6:$N$205,0),1)&amp;CHAR(10)&amp;INDEX(Tareas!$O$6:$O$205,MATCH(A$5&amp;"_"&amp;181,Tareas!$N$6:$N$205,0),1))</x:f>
      </x:c>
      <x:c r="B186" s="21" t="str">
        <x:f>IF(181&gt;B$4,"",INDEX(Tareas!$A$6:$A$205,MATCH(B$5&amp;"_"&amp;181,Tareas!$N$6:$N$205,0),1)&amp;" · "&amp;INDEX(Tareas!$D$6:$D$205,MATCH(B$5&amp;"_"&amp;181,Tareas!$N$6:$N$205,0),1)&amp;CHAR(10)&amp;INDEX(Tareas!$C$6:$C$205,MATCH(B$5&amp;"_"&amp;181,Tareas!$N$6:$N$205,0),1)&amp;CHAR(10)&amp;INDEX(Tareas!$E$6:$E$205,MATCH(B$5&amp;"_"&amp;181,Tareas!$N$6:$N$205,0),1)&amp;CHAR(10)&amp;INDEX(Tareas!$O$6:$O$205,MATCH(B$5&amp;"_"&amp;181,Tareas!$N$6:$N$205,0),1))</x:f>
      </x:c>
      <x:c r="C186" s="21" t="str">
        <x:f>IF(181&gt;C$4,"",INDEX(Tareas!$A$6:$A$205,MATCH(C$5&amp;"_"&amp;181,Tareas!$N$6:$N$205,0),1)&amp;" · "&amp;INDEX(Tareas!$D$6:$D$205,MATCH(C$5&amp;"_"&amp;181,Tareas!$N$6:$N$205,0),1)&amp;CHAR(10)&amp;INDEX(Tareas!$C$6:$C$205,MATCH(C$5&amp;"_"&amp;181,Tareas!$N$6:$N$205,0),1)&amp;CHAR(10)&amp;INDEX(Tareas!$E$6:$E$205,MATCH(C$5&amp;"_"&amp;181,Tareas!$N$6:$N$205,0),1)&amp;CHAR(10)&amp;INDEX(Tareas!$O$6:$O$205,MATCH(C$5&amp;"_"&amp;181,Tareas!$N$6:$N$205,0),1))</x:f>
      </x:c>
      <x:c r="D186" s="21" t="str">
        <x:f>IF(181&gt;D$4,"",INDEX(Tareas!$A$6:$A$205,MATCH(D$5&amp;"_"&amp;181,Tareas!$N$6:$N$205,0),1)&amp;" · "&amp;INDEX(Tareas!$D$6:$D$205,MATCH(D$5&amp;"_"&amp;181,Tareas!$N$6:$N$205,0),1)&amp;CHAR(10)&amp;INDEX(Tareas!$C$6:$C$205,MATCH(D$5&amp;"_"&amp;181,Tareas!$N$6:$N$205,0),1)&amp;CHAR(10)&amp;INDEX(Tareas!$E$6:$E$205,MATCH(D$5&amp;"_"&amp;181,Tareas!$N$6:$N$205,0),1)&amp;CHAR(10)&amp;INDEX(Tareas!$O$6:$O$205,MATCH(D$5&amp;"_"&amp;181,Tareas!$N$6:$N$205,0),1))</x:f>
      </x:c>
      <x:c r="E186" s="21" t="str">
        <x:f>IF(181&gt;E$4,"",INDEX(Tareas!$A$6:$A$205,MATCH(E$5&amp;"_"&amp;181,Tareas!$N$6:$N$205,0),1)&amp;" · "&amp;INDEX(Tareas!$D$6:$D$205,MATCH(E$5&amp;"_"&amp;181,Tareas!$N$6:$N$205,0),1)&amp;CHAR(10)&amp;INDEX(Tareas!$C$6:$C$205,MATCH(E$5&amp;"_"&amp;181,Tareas!$N$6:$N$205,0),1)&amp;CHAR(10)&amp;INDEX(Tareas!$E$6:$E$205,MATCH(E$5&amp;"_"&amp;181,Tareas!$N$6:$N$205,0),1)&amp;CHAR(10)&amp;INDEX(Tareas!$O$6:$O$205,MATCH(E$5&amp;"_"&amp;181,Tareas!$N$6:$N$205,0),1))</x:f>
      </x:c>
      <x:c r="F186" s="21" t="str">
        <x:f>IF(181&gt;F$4,"",INDEX(Tareas!$A$6:$A$205,MATCH(F$5&amp;"_"&amp;181,Tareas!$N$6:$N$205,0),1)&amp;" · "&amp;INDEX(Tareas!$D$6:$D$205,MATCH(F$5&amp;"_"&amp;181,Tareas!$N$6:$N$205,0),1)&amp;CHAR(10)&amp;INDEX(Tareas!$C$6:$C$205,MATCH(F$5&amp;"_"&amp;181,Tareas!$N$6:$N$205,0),1)&amp;CHAR(10)&amp;INDEX(Tareas!$E$6:$E$205,MATCH(F$5&amp;"_"&amp;181,Tareas!$N$6:$N$205,0),1)&amp;CHAR(10)&amp;INDEX(Tareas!$O$6:$O$205,MATCH(F$5&amp;"_"&amp;181,Tareas!$N$6:$N$205,0),1))</x:f>
      </x:c>
    </x:row>
    <x:row r="187" ht="76" customHeight="1">
      <x:c r="A187" s="21" t="str">
        <x:f>IF(182&gt;A$4,"",INDEX(Tareas!$A$6:$A$205,MATCH(A$5&amp;"_"&amp;182,Tareas!$N$6:$N$205,0),1)&amp;" · "&amp;INDEX(Tareas!$D$6:$D$205,MATCH(A$5&amp;"_"&amp;182,Tareas!$N$6:$N$205,0),1)&amp;CHAR(10)&amp;INDEX(Tareas!$C$6:$C$205,MATCH(A$5&amp;"_"&amp;182,Tareas!$N$6:$N$205,0),1)&amp;CHAR(10)&amp;INDEX(Tareas!$E$6:$E$205,MATCH(A$5&amp;"_"&amp;182,Tareas!$N$6:$N$205,0),1)&amp;CHAR(10)&amp;INDEX(Tareas!$O$6:$O$205,MATCH(A$5&amp;"_"&amp;182,Tareas!$N$6:$N$205,0),1))</x:f>
      </x:c>
      <x:c r="B187" s="21" t="str">
        <x:f>IF(182&gt;B$4,"",INDEX(Tareas!$A$6:$A$205,MATCH(B$5&amp;"_"&amp;182,Tareas!$N$6:$N$205,0),1)&amp;" · "&amp;INDEX(Tareas!$D$6:$D$205,MATCH(B$5&amp;"_"&amp;182,Tareas!$N$6:$N$205,0),1)&amp;CHAR(10)&amp;INDEX(Tareas!$C$6:$C$205,MATCH(B$5&amp;"_"&amp;182,Tareas!$N$6:$N$205,0),1)&amp;CHAR(10)&amp;INDEX(Tareas!$E$6:$E$205,MATCH(B$5&amp;"_"&amp;182,Tareas!$N$6:$N$205,0),1)&amp;CHAR(10)&amp;INDEX(Tareas!$O$6:$O$205,MATCH(B$5&amp;"_"&amp;182,Tareas!$N$6:$N$205,0),1))</x:f>
      </x:c>
      <x:c r="C187" s="21" t="str">
        <x:f>IF(182&gt;C$4,"",INDEX(Tareas!$A$6:$A$205,MATCH(C$5&amp;"_"&amp;182,Tareas!$N$6:$N$205,0),1)&amp;" · "&amp;INDEX(Tareas!$D$6:$D$205,MATCH(C$5&amp;"_"&amp;182,Tareas!$N$6:$N$205,0),1)&amp;CHAR(10)&amp;INDEX(Tareas!$C$6:$C$205,MATCH(C$5&amp;"_"&amp;182,Tareas!$N$6:$N$205,0),1)&amp;CHAR(10)&amp;INDEX(Tareas!$E$6:$E$205,MATCH(C$5&amp;"_"&amp;182,Tareas!$N$6:$N$205,0),1)&amp;CHAR(10)&amp;INDEX(Tareas!$O$6:$O$205,MATCH(C$5&amp;"_"&amp;182,Tareas!$N$6:$N$205,0),1))</x:f>
      </x:c>
      <x:c r="D187" s="21" t="str">
        <x:f>IF(182&gt;D$4,"",INDEX(Tareas!$A$6:$A$205,MATCH(D$5&amp;"_"&amp;182,Tareas!$N$6:$N$205,0),1)&amp;" · "&amp;INDEX(Tareas!$D$6:$D$205,MATCH(D$5&amp;"_"&amp;182,Tareas!$N$6:$N$205,0),1)&amp;CHAR(10)&amp;INDEX(Tareas!$C$6:$C$205,MATCH(D$5&amp;"_"&amp;182,Tareas!$N$6:$N$205,0),1)&amp;CHAR(10)&amp;INDEX(Tareas!$E$6:$E$205,MATCH(D$5&amp;"_"&amp;182,Tareas!$N$6:$N$205,0),1)&amp;CHAR(10)&amp;INDEX(Tareas!$O$6:$O$205,MATCH(D$5&amp;"_"&amp;182,Tareas!$N$6:$N$205,0),1))</x:f>
      </x:c>
      <x:c r="E187" s="21" t="str">
        <x:f>IF(182&gt;E$4,"",INDEX(Tareas!$A$6:$A$205,MATCH(E$5&amp;"_"&amp;182,Tareas!$N$6:$N$205,0),1)&amp;" · "&amp;INDEX(Tareas!$D$6:$D$205,MATCH(E$5&amp;"_"&amp;182,Tareas!$N$6:$N$205,0),1)&amp;CHAR(10)&amp;INDEX(Tareas!$C$6:$C$205,MATCH(E$5&amp;"_"&amp;182,Tareas!$N$6:$N$205,0),1)&amp;CHAR(10)&amp;INDEX(Tareas!$E$6:$E$205,MATCH(E$5&amp;"_"&amp;182,Tareas!$N$6:$N$205,0),1)&amp;CHAR(10)&amp;INDEX(Tareas!$O$6:$O$205,MATCH(E$5&amp;"_"&amp;182,Tareas!$N$6:$N$205,0),1))</x:f>
      </x:c>
      <x:c r="F187" s="21" t="str">
        <x:f>IF(182&gt;F$4,"",INDEX(Tareas!$A$6:$A$205,MATCH(F$5&amp;"_"&amp;182,Tareas!$N$6:$N$205,0),1)&amp;" · "&amp;INDEX(Tareas!$D$6:$D$205,MATCH(F$5&amp;"_"&amp;182,Tareas!$N$6:$N$205,0),1)&amp;CHAR(10)&amp;INDEX(Tareas!$C$6:$C$205,MATCH(F$5&amp;"_"&amp;182,Tareas!$N$6:$N$205,0),1)&amp;CHAR(10)&amp;INDEX(Tareas!$E$6:$E$205,MATCH(F$5&amp;"_"&amp;182,Tareas!$N$6:$N$205,0),1)&amp;CHAR(10)&amp;INDEX(Tareas!$O$6:$O$205,MATCH(F$5&amp;"_"&amp;182,Tareas!$N$6:$N$205,0),1))</x:f>
      </x:c>
    </x:row>
    <x:row r="188" ht="76" customHeight="1">
      <x:c r="A188" s="21" t="str">
        <x:f>IF(183&gt;A$4,"",INDEX(Tareas!$A$6:$A$205,MATCH(A$5&amp;"_"&amp;183,Tareas!$N$6:$N$205,0),1)&amp;" · "&amp;INDEX(Tareas!$D$6:$D$205,MATCH(A$5&amp;"_"&amp;183,Tareas!$N$6:$N$205,0),1)&amp;CHAR(10)&amp;INDEX(Tareas!$C$6:$C$205,MATCH(A$5&amp;"_"&amp;183,Tareas!$N$6:$N$205,0),1)&amp;CHAR(10)&amp;INDEX(Tareas!$E$6:$E$205,MATCH(A$5&amp;"_"&amp;183,Tareas!$N$6:$N$205,0),1)&amp;CHAR(10)&amp;INDEX(Tareas!$O$6:$O$205,MATCH(A$5&amp;"_"&amp;183,Tareas!$N$6:$N$205,0),1))</x:f>
      </x:c>
      <x:c r="B188" s="21" t="str">
        <x:f>IF(183&gt;B$4,"",INDEX(Tareas!$A$6:$A$205,MATCH(B$5&amp;"_"&amp;183,Tareas!$N$6:$N$205,0),1)&amp;" · "&amp;INDEX(Tareas!$D$6:$D$205,MATCH(B$5&amp;"_"&amp;183,Tareas!$N$6:$N$205,0),1)&amp;CHAR(10)&amp;INDEX(Tareas!$C$6:$C$205,MATCH(B$5&amp;"_"&amp;183,Tareas!$N$6:$N$205,0),1)&amp;CHAR(10)&amp;INDEX(Tareas!$E$6:$E$205,MATCH(B$5&amp;"_"&amp;183,Tareas!$N$6:$N$205,0),1)&amp;CHAR(10)&amp;INDEX(Tareas!$O$6:$O$205,MATCH(B$5&amp;"_"&amp;183,Tareas!$N$6:$N$205,0),1))</x:f>
      </x:c>
      <x:c r="C188" s="21" t="str">
        <x:f>IF(183&gt;C$4,"",INDEX(Tareas!$A$6:$A$205,MATCH(C$5&amp;"_"&amp;183,Tareas!$N$6:$N$205,0),1)&amp;" · "&amp;INDEX(Tareas!$D$6:$D$205,MATCH(C$5&amp;"_"&amp;183,Tareas!$N$6:$N$205,0),1)&amp;CHAR(10)&amp;INDEX(Tareas!$C$6:$C$205,MATCH(C$5&amp;"_"&amp;183,Tareas!$N$6:$N$205,0),1)&amp;CHAR(10)&amp;INDEX(Tareas!$E$6:$E$205,MATCH(C$5&amp;"_"&amp;183,Tareas!$N$6:$N$205,0),1)&amp;CHAR(10)&amp;INDEX(Tareas!$O$6:$O$205,MATCH(C$5&amp;"_"&amp;183,Tareas!$N$6:$N$205,0),1))</x:f>
      </x:c>
      <x:c r="D188" s="21" t="str">
        <x:f>IF(183&gt;D$4,"",INDEX(Tareas!$A$6:$A$205,MATCH(D$5&amp;"_"&amp;183,Tareas!$N$6:$N$205,0),1)&amp;" · "&amp;INDEX(Tareas!$D$6:$D$205,MATCH(D$5&amp;"_"&amp;183,Tareas!$N$6:$N$205,0),1)&amp;CHAR(10)&amp;INDEX(Tareas!$C$6:$C$205,MATCH(D$5&amp;"_"&amp;183,Tareas!$N$6:$N$205,0),1)&amp;CHAR(10)&amp;INDEX(Tareas!$E$6:$E$205,MATCH(D$5&amp;"_"&amp;183,Tareas!$N$6:$N$205,0),1)&amp;CHAR(10)&amp;INDEX(Tareas!$O$6:$O$205,MATCH(D$5&amp;"_"&amp;183,Tareas!$N$6:$N$205,0),1))</x:f>
      </x:c>
      <x:c r="E188" s="21" t="str">
        <x:f>IF(183&gt;E$4,"",INDEX(Tareas!$A$6:$A$205,MATCH(E$5&amp;"_"&amp;183,Tareas!$N$6:$N$205,0),1)&amp;" · "&amp;INDEX(Tareas!$D$6:$D$205,MATCH(E$5&amp;"_"&amp;183,Tareas!$N$6:$N$205,0),1)&amp;CHAR(10)&amp;INDEX(Tareas!$C$6:$C$205,MATCH(E$5&amp;"_"&amp;183,Tareas!$N$6:$N$205,0),1)&amp;CHAR(10)&amp;INDEX(Tareas!$E$6:$E$205,MATCH(E$5&amp;"_"&amp;183,Tareas!$N$6:$N$205,0),1)&amp;CHAR(10)&amp;INDEX(Tareas!$O$6:$O$205,MATCH(E$5&amp;"_"&amp;183,Tareas!$N$6:$N$205,0),1))</x:f>
      </x:c>
      <x:c r="F188" s="21" t="str">
        <x:f>IF(183&gt;F$4,"",INDEX(Tareas!$A$6:$A$205,MATCH(F$5&amp;"_"&amp;183,Tareas!$N$6:$N$205,0),1)&amp;" · "&amp;INDEX(Tareas!$D$6:$D$205,MATCH(F$5&amp;"_"&amp;183,Tareas!$N$6:$N$205,0),1)&amp;CHAR(10)&amp;INDEX(Tareas!$C$6:$C$205,MATCH(F$5&amp;"_"&amp;183,Tareas!$N$6:$N$205,0),1)&amp;CHAR(10)&amp;INDEX(Tareas!$E$6:$E$205,MATCH(F$5&amp;"_"&amp;183,Tareas!$N$6:$N$205,0),1)&amp;CHAR(10)&amp;INDEX(Tareas!$O$6:$O$205,MATCH(F$5&amp;"_"&amp;183,Tareas!$N$6:$N$205,0),1))</x:f>
      </x:c>
    </x:row>
    <x:row r="189" ht="76" customHeight="1">
      <x:c r="A189" s="21" t="str">
        <x:f>IF(184&gt;A$4,"",INDEX(Tareas!$A$6:$A$205,MATCH(A$5&amp;"_"&amp;184,Tareas!$N$6:$N$205,0),1)&amp;" · "&amp;INDEX(Tareas!$D$6:$D$205,MATCH(A$5&amp;"_"&amp;184,Tareas!$N$6:$N$205,0),1)&amp;CHAR(10)&amp;INDEX(Tareas!$C$6:$C$205,MATCH(A$5&amp;"_"&amp;184,Tareas!$N$6:$N$205,0),1)&amp;CHAR(10)&amp;INDEX(Tareas!$E$6:$E$205,MATCH(A$5&amp;"_"&amp;184,Tareas!$N$6:$N$205,0),1)&amp;CHAR(10)&amp;INDEX(Tareas!$O$6:$O$205,MATCH(A$5&amp;"_"&amp;184,Tareas!$N$6:$N$205,0),1))</x:f>
      </x:c>
      <x:c r="B189" s="21" t="str">
        <x:f>IF(184&gt;B$4,"",INDEX(Tareas!$A$6:$A$205,MATCH(B$5&amp;"_"&amp;184,Tareas!$N$6:$N$205,0),1)&amp;" · "&amp;INDEX(Tareas!$D$6:$D$205,MATCH(B$5&amp;"_"&amp;184,Tareas!$N$6:$N$205,0),1)&amp;CHAR(10)&amp;INDEX(Tareas!$C$6:$C$205,MATCH(B$5&amp;"_"&amp;184,Tareas!$N$6:$N$205,0),1)&amp;CHAR(10)&amp;INDEX(Tareas!$E$6:$E$205,MATCH(B$5&amp;"_"&amp;184,Tareas!$N$6:$N$205,0),1)&amp;CHAR(10)&amp;INDEX(Tareas!$O$6:$O$205,MATCH(B$5&amp;"_"&amp;184,Tareas!$N$6:$N$205,0),1))</x:f>
      </x:c>
      <x:c r="C189" s="21" t="str">
        <x:f>IF(184&gt;C$4,"",INDEX(Tareas!$A$6:$A$205,MATCH(C$5&amp;"_"&amp;184,Tareas!$N$6:$N$205,0),1)&amp;" · "&amp;INDEX(Tareas!$D$6:$D$205,MATCH(C$5&amp;"_"&amp;184,Tareas!$N$6:$N$205,0),1)&amp;CHAR(10)&amp;INDEX(Tareas!$C$6:$C$205,MATCH(C$5&amp;"_"&amp;184,Tareas!$N$6:$N$205,0),1)&amp;CHAR(10)&amp;INDEX(Tareas!$E$6:$E$205,MATCH(C$5&amp;"_"&amp;184,Tareas!$N$6:$N$205,0),1)&amp;CHAR(10)&amp;INDEX(Tareas!$O$6:$O$205,MATCH(C$5&amp;"_"&amp;184,Tareas!$N$6:$N$205,0),1))</x:f>
      </x:c>
      <x:c r="D189" s="21" t="str">
        <x:f>IF(184&gt;D$4,"",INDEX(Tareas!$A$6:$A$205,MATCH(D$5&amp;"_"&amp;184,Tareas!$N$6:$N$205,0),1)&amp;" · "&amp;INDEX(Tareas!$D$6:$D$205,MATCH(D$5&amp;"_"&amp;184,Tareas!$N$6:$N$205,0),1)&amp;CHAR(10)&amp;INDEX(Tareas!$C$6:$C$205,MATCH(D$5&amp;"_"&amp;184,Tareas!$N$6:$N$205,0),1)&amp;CHAR(10)&amp;INDEX(Tareas!$E$6:$E$205,MATCH(D$5&amp;"_"&amp;184,Tareas!$N$6:$N$205,0),1)&amp;CHAR(10)&amp;INDEX(Tareas!$O$6:$O$205,MATCH(D$5&amp;"_"&amp;184,Tareas!$N$6:$N$205,0),1))</x:f>
      </x:c>
      <x:c r="E189" s="21" t="str">
        <x:f>IF(184&gt;E$4,"",INDEX(Tareas!$A$6:$A$205,MATCH(E$5&amp;"_"&amp;184,Tareas!$N$6:$N$205,0),1)&amp;" · "&amp;INDEX(Tareas!$D$6:$D$205,MATCH(E$5&amp;"_"&amp;184,Tareas!$N$6:$N$205,0),1)&amp;CHAR(10)&amp;INDEX(Tareas!$C$6:$C$205,MATCH(E$5&amp;"_"&amp;184,Tareas!$N$6:$N$205,0),1)&amp;CHAR(10)&amp;INDEX(Tareas!$E$6:$E$205,MATCH(E$5&amp;"_"&amp;184,Tareas!$N$6:$N$205,0),1)&amp;CHAR(10)&amp;INDEX(Tareas!$O$6:$O$205,MATCH(E$5&amp;"_"&amp;184,Tareas!$N$6:$N$205,0),1))</x:f>
      </x:c>
      <x:c r="F189" s="21" t="str">
        <x:f>IF(184&gt;F$4,"",INDEX(Tareas!$A$6:$A$205,MATCH(F$5&amp;"_"&amp;184,Tareas!$N$6:$N$205,0),1)&amp;" · "&amp;INDEX(Tareas!$D$6:$D$205,MATCH(F$5&amp;"_"&amp;184,Tareas!$N$6:$N$205,0),1)&amp;CHAR(10)&amp;INDEX(Tareas!$C$6:$C$205,MATCH(F$5&amp;"_"&amp;184,Tareas!$N$6:$N$205,0),1)&amp;CHAR(10)&amp;INDEX(Tareas!$E$6:$E$205,MATCH(F$5&amp;"_"&amp;184,Tareas!$N$6:$N$205,0),1)&amp;CHAR(10)&amp;INDEX(Tareas!$O$6:$O$205,MATCH(F$5&amp;"_"&amp;184,Tareas!$N$6:$N$205,0),1))</x:f>
      </x:c>
    </x:row>
    <x:row r="190" ht="76" customHeight="1">
      <x:c r="A190" s="21" t="str">
        <x:f>IF(185&gt;A$4,"",INDEX(Tareas!$A$6:$A$205,MATCH(A$5&amp;"_"&amp;185,Tareas!$N$6:$N$205,0),1)&amp;" · "&amp;INDEX(Tareas!$D$6:$D$205,MATCH(A$5&amp;"_"&amp;185,Tareas!$N$6:$N$205,0),1)&amp;CHAR(10)&amp;INDEX(Tareas!$C$6:$C$205,MATCH(A$5&amp;"_"&amp;185,Tareas!$N$6:$N$205,0),1)&amp;CHAR(10)&amp;INDEX(Tareas!$E$6:$E$205,MATCH(A$5&amp;"_"&amp;185,Tareas!$N$6:$N$205,0),1)&amp;CHAR(10)&amp;INDEX(Tareas!$O$6:$O$205,MATCH(A$5&amp;"_"&amp;185,Tareas!$N$6:$N$205,0),1))</x:f>
      </x:c>
      <x:c r="B190" s="21" t="str">
        <x:f>IF(185&gt;B$4,"",INDEX(Tareas!$A$6:$A$205,MATCH(B$5&amp;"_"&amp;185,Tareas!$N$6:$N$205,0),1)&amp;" · "&amp;INDEX(Tareas!$D$6:$D$205,MATCH(B$5&amp;"_"&amp;185,Tareas!$N$6:$N$205,0),1)&amp;CHAR(10)&amp;INDEX(Tareas!$C$6:$C$205,MATCH(B$5&amp;"_"&amp;185,Tareas!$N$6:$N$205,0),1)&amp;CHAR(10)&amp;INDEX(Tareas!$E$6:$E$205,MATCH(B$5&amp;"_"&amp;185,Tareas!$N$6:$N$205,0),1)&amp;CHAR(10)&amp;INDEX(Tareas!$O$6:$O$205,MATCH(B$5&amp;"_"&amp;185,Tareas!$N$6:$N$205,0),1))</x:f>
      </x:c>
      <x:c r="C190" s="21" t="str">
        <x:f>IF(185&gt;C$4,"",INDEX(Tareas!$A$6:$A$205,MATCH(C$5&amp;"_"&amp;185,Tareas!$N$6:$N$205,0),1)&amp;" · "&amp;INDEX(Tareas!$D$6:$D$205,MATCH(C$5&amp;"_"&amp;185,Tareas!$N$6:$N$205,0),1)&amp;CHAR(10)&amp;INDEX(Tareas!$C$6:$C$205,MATCH(C$5&amp;"_"&amp;185,Tareas!$N$6:$N$205,0),1)&amp;CHAR(10)&amp;INDEX(Tareas!$E$6:$E$205,MATCH(C$5&amp;"_"&amp;185,Tareas!$N$6:$N$205,0),1)&amp;CHAR(10)&amp;INDEX(Tareas!$O$6:$O$205,MATCH(C$5&amp;"_"&amp;185,Tareas!$N$6:$N$205,0),1))</x:f>
      </x:c>
      <x:c r="D190" s="21" t="str">
        <x:f>IF(185&gt;D$4,"",INDEX(Tareas!$A$6:$A$205,MATCH(D$5&amp;"_"&amp;185,Tareas!$N$6:$N$205,0),1)&amp;" · "&amp;INDEX(Tareas!$D$6:$D$205,MATCH(D$5&amp;"_"&amp;185,Tareas!$N$6:$N$205,0),1)&amp;CHAR(10)&amp;INDEX(Tareas!$C$6:$C$205,MATCH(D$5&amp;"_"&amp;185,Tareas!$N$6:$N$205,0),1)&amp;CHAR(10)&amp;INDEX(Tareas!$E$6:$E$205,MATCH(D$5&amp;"_"&amp;185,Tareas!$N$6:$N$205,0),1)&amp;CHAR(10)&amp;INDEX(Tareas!$O$6:$O$205,MATCH(D$5&amp;"_"&amp;185,Tareas!$N$6:$N$205,0),1))</x:f>
      </x:c>
      <x:c r="E190" s="21" t="str">
        <x:f>IF(185&gt;E$4,"",INDEX(Tareas!$A$6:$A$205,MATCH(E$5&amp;"_"&amp;185,Tareas!$N$6:$N$205,0),1)&amp;" · "&amp;INDEX(Tareas!$D$6:$D$205,MATCH(E$5&amp;"_"&amp;185,Tareas!$N$6:$N$205,0),1)&amp;CHAR(10)&amp;INDEX(Tareas!$C$6:$C$205,MATCH(E$5&amp;"_"&amp;185,Tareas!$N$6:$N$205,0),1)&amp;CHAR(10)&amp;INDEX(Tareas!$E$6:$E$205,MATCH(E$5&amp;"_"&amp;185,Tareas!$N$6:$N$205,0),1)&amp;CHAR(10)&amp;INDEX(Tareas!$O$6:$O$205,MATCH(E$5&amp;"_"&amp;185,Tareas!$N$6:$N$205,0),1))</x:f>
      </x:c>
      <x:c r="F190" s="21" t="str">
        <x:f>IF(185&gt;F$4,"",INDEX(Tareas!$A$6:$A$205,MATCH(F$5&amp;"_"&amp;185,Tareas!$N$6:$N$205,0),1)&amp;" · "&amp;INDEX(Tareas!$D$6:$D$205,MATCH(F$5&amp;"_"&amp;185,Tareas!$N$6:$N$205,0),1)&amp;CHAR(10)&amp;INDEX(Tareas!$C$6:$C$205,MATCH(F$5&amp;"_"&amp;185,Tareas!$N$6:$N$205,0),1)&amp;CHAR(10)&amp;INDEX(Tareas!$E$6:$E$205,MATCH(F$5&amp;"_"&amp;185,Tareas!$N$6:$N$205,0),1)&amp;CHAR(10)&amp;INDEX(Tareas!$O$6:$O$205,MATCH(F$5&amp;"_"&amp;185,Tareas!$N$6:$N$205,0),1))</x:f>
      </x:c>
    </x:row>
    <x:row r="191" ht="76" customHeight="1">
      <x:c r="A191" s="21" t="str">
        <x:f>IF(186&gt;A$4,"",INDEX(Tareas!$A$6:$A$205,MATCH(A$5&amp;"_"&amp;186,Tareas!$N$6:$N$205,0),1)&amp;" · "&amp;INDEX(Tareas!$D$6:$D$205,MATCH(A$5&amp;"_"&amp;186,Tareas!$N$6:$N$205,0),1)&amp;CHAR(10)&amp;INDEX(Tareas!$C$6:$C$205,MATCH(A$5&amp;"_"&amp;186,Tareas!$N$6:$N$205,0),1)&amp;CHAR(10)&amp;INDEX(Tareas!$E$6:$E$205,MATCH(A$5&amp;"_"&amp;186,Tareas!$N$6:$N$205,0),1)&amp;CHAR(10)&amp;INDEX(Tareas!$O$6:$O$205,MATCH(A$5&amp;"_"&amp;186,Tareas!$N$6:$N$205,0),1))</x:f>
      </x:c>
      <x:c r="B191" s="21" t="str">
        <x:f>IF(186&gt;B$4,"",INDEX(Tareas!$A$6:$A$205,MATCH(B$5&amp;"_"&amp;186,Tareas!$N$6:$N$205,0),1)&amp;" · "&amp;INDEX(Tareas!$D$6:$D$205,MATCH(B$5&amp;"_"&amp;186,Tareas!$N$6:$N$205,0),1)&amp;CHAR(10)&amp;INDEX(Tareas!$C$6:$C$205,MATCH(B$5&amp;"_"&amp;186,Tareas!$N$6:$N$205,0),1)&amp;CHAR(10)&amp;INDEX(Tareas!$E$6:$E$205,MATCH(B$5&amp;"_"&amp;186,Tareas!$N$6:$N$205,0),1)&amp;CHAR(10)&amp;INDEX(Tareas!$O$6:$O$205,MATCH(B$5&amp;"_"&amp;186,Tareas!$N$6:$N$205,0),1))</x:f>
      </x:c>
      <x:c r="C191" s="21" t="str">
        <x:f>IF(186&gt;C$4,"",INDEX(Tareas!$A$6:$A$205,MATCH(C$5&amp;"_"&amp;186,Tareas!$N$6:$N$205,0),1)&amp;" · "&amp;INDEX(Tareas!$D$6:$D$205,MATCH(C$5&amp;"_"&amp;186,Tareas!$N$6:$N$205,0),1)&amp;CHAR(10)&amp;INDEX(Tareas!$C$6:$C$205,MATCH(C$5&amp;"_"&amp;186,Tareas!$N$6:$N$205,0),1)&amp;CHAR(10)&amp;INDEX(Tareas!$E$6:$E$205,MATCH(C$5&amp;"_"&amp;186,Tareas!$N$6:$N$205,0),1)&amp;CHAR(10)&amp;INDEX(Tareas!$O$6:$O$205,MATCH(C$5&amp;"_"&amp;186,Tareas!$N$6:$N$205,0),1))</x:f>
      </x:c>
      <x:c r="D191" s="21" t="str">
        <x:f>IF(186&gt;D$4,"",INDEX(Tareas!$A$6:$A$205,MATCH(D$5&amp;"_"&amp;186,Tareas!$N$6:$N$205,0),1)&amp;" · "&amp;INDEX(Tareas!$D$6:$D$205,MATCH(D$5&amp;"_"&amp;186,Tareas!$N$6:$N$205,0),1)&amp;CHAR(10)&amp;INDEX(Tareas!$C$6:$C$205,MATCH(D$5&amp;"_"&amp;186,Tareas!$N$6:$N$205,0),1)&amp;CHAR(10)&amp;INDEX(Tareas!$E$6:$E$205,MATCH(D$5&amp;"_"&amp;186,Tareas!$N$6:$N$205,0),1)&amp;CHAR(10)&amp;INDEX(Tareas!$O$6:$O$205,MATCH(D$5&amp;"_"&amp;186,Tareas!$N$6:$N$205,0),1))</x:f>
      </x:c>
      <x:c r="E191" s="21" t="str">
        <x:f>IF(186&gt;E$4,"",INDEX(Tareas!$A$6:$A$205,MATCH(E$5&amp;"_"&amp;186,Tareas!$N$6:$N$205,0),1)&amp;" · "&amp;INDEX(Tareas!$D$6:$D$205,MATCH(E$5&amp;"_"&amp;186,Tareas!$N$6:$N$205,0),1)&amp;CHAR(10)&amp;INDEX(Tareas!$C$6:$C$205,MATCH(E$5&amp;"_"&amp;186,Tareas!$N$6:$N$205,0),1)&amp;CHAR(10)&amp;INDEX(Tareas!$E$6:$E$205,MATCH(E$5&amp;"_"&amp;186,Tareas!$N$6:$N$205,0),1)&amp;CHAR(10)&amp;INDEX(Tareas!$O$6:$O$205,MATCH(E$5&amp;"_"&amp;186,Tareas!$N$6:$N$205,0),1))</x:f>
      </x:c>
      <x:c r="F191" s="21" t="str">
        <x:f>IF(186&gt;F$4,"",INDEX(Tareas!$A$6:$A$205,MATCH(F$5&amp;"_"&amp;186,Tareas!$N$6:$N$205,0),1)&amp;" · "&amp;INDEX(Tareas!$D$6:$D$205,MATCH(F$5&amp;"_"&amp;186,Tareas!$N$6:$N$205,0),1)&amp;CHAR(10)&amp;INDEX(Tareas!$C$6:$C$205,MATCH(F$5&amp;"_"&amp;186,Tareas!$N$6:$N$205,0),1)&amp;CHAR(10)&amp;INDEX(Tareas!$E$6:$E$205,MATCH(F$5&amp;"_"&amp;186,Tareas!$N$6:$N$205,0),1)&amp;CHAR(10)&amp;INDEX(Tareas!$O$6:$O$205,MATCH(F$5&amp;"_"&amp;186,Tareas!$N$6:$N$205,0),1))</x:f>
      </x:c>
    </x:row>
    <x:row r="192" ht="76" customHeight="1">
      <x:c r="A192" s="21" t="str">
        <x:f>IF(187&gt;A$4,"",INDEX(Tareas!$A$6:$A$205,MATCH(A$5&amp;"_"&amp;187,Tareas!$N$6:$N$205,0),1)&amp;" · "&amp;INDEX(Tareas!$D$6:$D$205,MATCH(A$5&amp;"_"&amp;187,Tareas!$N$6:$N$205,0),1)&amp;CHAR(10)&amp;INDEX(Tareas!$C$6:$C$205,MATCH(A$5&amp;"_"&amp;187,Tareas!$N$6:$N$205,0),1)&amp;CHAR(10)&amp;INDEX(Tareas!$E$6:$E$205,MATCH(A$5&amp;"_"&amp;187,Tareas!$N$6:$N$205,0),1)&amp;CHAR(10)&amp;INDEX(Tareas!$O$6:$O$205,MATCH(A$5&amp;"_"&amp;187,Tareas!$N$6:$N$205,0),1))</x:f>
      </x:c>
      <x:c r="B192" s="21" t="str">
        <x:f>IF(187&gt;B$4,"",INDEX(Tareas!$A$6:$A$205,MATCH(B$5&amp;"_"&amp;187,Tareas!$N$6:$N$205,0),1)&amp;" · "&amp;INDEX(Tareas!$D$6:$D$205,MATCH(B$5&amp;"_"&amp;187,Tareas!$N$6:$N$205,0),1)&amp;CHAR(10)&amp;INDEX(Tareas!$C$6:$C$205,MATCH(B$5&amp;"_"&amp;187,Tareas!$N$6:$N$205,0),1)&amp;CHAR(10)&amp;INDEX(Tareas!$E$6:$E$205,MATCH(B$5&amp;"_"&amp;187,Tareas!$N$6:$N$205,0),1)&amp;CHAR(10)&amp;INDEX(Tareas!$O$6:$O$205,MATCH(B$5&amp;"_"&amp;187,Tareas!$N$6:$N$205,0),1))</x:f>
      </x:c>
      <x:c r="C192" s="21" t="str">
        <x:f>IF(187&gt;C$4,"",INDEX(Tareas!$A$6:$A$205,MATCH(C$5&amp;"_"&amp;187,Tareas!$N$6:$N$205,0),1)&amp;" · "&amp;INDEX(Tareas!$D$6:$D$205,MATCH(C$5&amp;"_"&amp;187,Tareas!$N$6:$N$205,0),1)&amp;CHAR(10)&amp;INDEX(Tareas!$C$6:$C$205,MATCH(C$5&amp;"_"&amp;187,Tareas!$N$6:$N$205,0),1)&amp;CHAR(10)&amp;INDEX(Tareas!$E$6:$E$205,MATCH(C$5&amp;"_"&amp;187,Tareas!$N$6:$N$205,0),1)&amp;CHAR(10)&amp;INDEX(Tareas!$O$6:$O$205,MATCH(C$5&amp;"_"&amp;187,Tareas!$N$6:$N$205,0),1))</x:f>
      </x:c>
      <x:c r="D192" s="21" t="str">
        <x:f>IF(187&gt;D$4,"",INDEX(Tareas!$A$6:$A$205,MATCH(D$5&amp;"_"&amp;187,Tareas!$N$6:$N$205,0),1)&amp;" · "&amp;INDEX(Tareas!$D$6:$D$205,MATCH(D$5&amp;"_"&amp;187,Tareas!$N$6:$N$205,0),1)&amp;CHAR(10)&amp;INDEX(Tareas!$C$6:$C$205,MATCH(D$5&amp;"_"&amp;187,Tareas!$N$6:$N$205,0),1)&amp;CHAR(10)&amp;INDEX(Tareas!$E$6:$E$205,MATCH(D$5&amp;"_"&amp;187,Tareas!$N$6:$N$205,0),1)&amp;CHAR(10)&amp;INDEX(Tareas!$O$6:$O$205,MATCH(D$5&amp;"_"&amp;187,Tareas!$N$6:$N$205,0),1))</x:f>
      </x:c>
      <x:c r="E192" s="21" t="str">
        <x:f>IF(187&gt;E$4,"",INDEX(Tareas!$A$6:$A$205,MATCH(E$5&amp;"_"&amp;187,Tareas!$N$6:$N$205,0),1)&amp;" · "&amp;INDEX(Tareas!$D$6:$D$205,MATCH(E$5&amp;"_"&amp;187,Tareas!$N$6:$N$205,0),1)&amp;CHAR(10)&amp;INDEX(Tareas!$C$6:$C$205,MATCH(E$5&amp;"_"&amp;187,Tareas!$N$6:$N$205,0),1)&amp;CHAR(10)&amp;INDEX(Tareas!$E$6:$E$205,MATCH(E$5&amp;"_"&amp;187,Tareas!$N$6:$N$205,0),1)&amp;CHAR(10)&amp;INDEX(Tareas!$O$6:$O$205,MATCH(E$5&amp;"_"&amp;187,Tareas!$N$6:$N$205,0),1))</x:f>
      </x:c>
      <x:c r="F192" s="21" t="str">
        <x:f>IF(187&gt;F$4,"",INDEX(Tareas!$A$6:$A$205,MATCH(F$5&amp;"_"&amp;187,Tareas!$N$6:$N$205,0),1)&amp;" · "&amp;INDEX(Tareas!$D$6:$D$205,MATCH(F$5&amp;"_"&amp;187,Tareas!$N$6:$N$205,0),1)&amp;CHAR(10)&amp;INDEX(Tareas!$C$6:$C$205,MATCH(F$5&amp;"_"&amp;187,Tareas!$N$6:$N$205,0),1)&amp;CHAR(10)&amp;INDEX(Tareas!$E$6:$E$205,MATCH(F$5&amp;"_"&amp;187,Tareas!$N$6:$N$205,0),1)&amp;CHAR(10)&amp;INDEX(Tareas!$O$6:$O$205,MATCH(F$5&amp;"_"&amp;187,Tareas!$N$6:$N$205,0),1))</x:f>
      </x:c>
    </x:row>
    <x:row r="193" ht="76" customHeight="1">
      <x:c r="A193" s="21" t="str">
        <x:f>IF(188&gt;A$4,"",INDEX(Tareas!$A$6:$A$205,MATCH(A$5&amp;"_"&amp;188,Tareas!$N$6:$N$205,0),1)&amp;" · "&amp;INDEX(Tareas!$D$6:$D$205,MATCH(A$5&amp;"_"&amp;188,Tareas!$N$6:$N$205,0),1)&amp;CHAR(10)&amp;INDEX(Tareas!$C$6:$C$205,MATCH(A$5&amp;"_"&amp;188,Tareas!$N$6:$N$205,0),1)&amp;CHAR(10)&amp;INDEX(Tareas!$E$6:$E$205,MATCH(A$5&amp;"_"&amp;188,Tareas!$N$6:$N$205,0),1)&amp;CHAR(10)&amp;INDEX(Tareas!$O$6:$O$205,MATCH(A$5&amp;"_"&amp;188,Tareas!$N$6:$N$205,0),1))</x:f>
      </x:c>
      <x:c r="B193" s="21" t="str">
        <x:f>IF(188&gt;B$4,"",INDEX(Tareas!$A$6:$A$205,MATCH(B$5&amp;"_"&amp;188,Tareas!$N$6:$N$205,0),1)&amp;" · "&amp;INDEX(Tareas!$D$6:$D$205,MATCH(B$5&amp;"_"&amp;188,Tareas!$N$6:$N$205,0),1)&amp;CHAR(10)&amp;INDEX(Tareas!$C$6:$C$205,MATCH(B$5&amp;"_"&amp;188,Tareas!$N$6:$N$205,0),1)&amp;CHAR(10)&amp;INDEX(Tareas!$E$6:$E$205,MATCH(B$5&amp;"_"&amp;188,Tareas!$N$6:$N$205,0),1)&amp;CHAR(10)&amp;INDEX(Tareas!$O$6:$O$205,MATCH(B$5&amp;"_"&amp;188,Tareas!$N$6:$N$205,0),1))</x:f>
      </x:c>
      <x:c r="C193" s="21" t="str">
        <x:f>IF(188&gt;C$4,"",INDEX(Tareas!$A$6:$A$205,MATCH(C$5&amp;"_"&amp;188,Tareas!$N$6:$N$205,0),1)&amp;" · "&amp;INDEX(Tareas!$D$6:$D$205,MATCH(C$5&amp;"_"&amp;188,Tareas!$N$6:$N$205,0),1)&amp;CHAR(10)&amp;INDEX(Tareas!$C$6:$C$205,MATCH(C$5&amp;"_"&amp;188,Tareas!$N$6:$N$205,0),1)&amp;CHAR(10)&amp;INDEX(Tareas!$E$6:$E$205,MATCH(C$5&amp;"_"&amp;188,Tareas!$N$6:$N$205,0),1)&amp;CHAR(10)&amp;INDEX(Tareas!$O$6:$O$205,MATCH(C$5&amp;"_"&amp;188,Tareas!$N$6:$N$205,0),1))</x:f>
      </x:c>
      <x:c r="D193" s="21" t="str">
        <x:f>IF(188&gt;D$4,"",INDEX(Tareas!$A$6:$A$205,MATCH(D$5&amp;"_"&amp;188,Tareas!$N$6:$N$205,0),1)&amp;" · "&amp;INDEX(Tareas!$D$6:$D$205,MATCH(D$5&amp;"_"&amp;188,Tareas!$N$6:$N$205,0),1)&amp;CHAR(10)&amp;INDEX(Tareas!$C$6:$C$205,MATCH(D$5&amp;"_"&amp;188,Tareas!$N$6:$N$205,0),1)&amp;CHAR(10)&amp;INDEX(Tareas!$E$6:$E$205,MATCH(D$5&amp;"_"&amp;188,Tareas!$N$6:$N$205,0),1)&amp;CHAR(10)&amp;INDEX(Tareas!$O$6:$O$205,MATCH(D$5&amp;"_"&amp;188,Tareas!$N$6:$N$205,0),1))</x:f>
      </x:c>
      <x:c r="E193" s="21" t="str">
        <x:f>IF(188&gt;E$4,"",INDEX(Tareas!$A$6:$A$205,MATCH(E$5&amp;"_"&amp;188,Tareas!$N$6:$N$205,0),1)&amp;" · "&amp;INDEX(Tareas!$D$6:$D$205,MATCH(E$5&amp;"_"&amp;188,Tareas!$N$6:$N$205,0),1)&amp;CHAR(10)&amp;INDEX(Tareas!$C$6:$C$205,MATCH(E$5&amp;"_"&amp;188,Tareas!$N$6:$N$205,0),1)&amp;CHAR(10)&amp;INDEX(Tareas!$E$6:$E$205,MATCH(E$5&amp;"_"&amp;188,Tareas!$N$6:$N$205,0),1)&amp;CHAR(10)&amp;INDEX(Tareas!$O$6:$O$205,MATCH(E$5&amp;"_"&amp;188,Tareas!$N$6:$N$205,0),1))</x:f>
      </x:c>
      <x:c r="F193" s="21" t="str">
        <x:f>IF(188&gt;F$4,"",INDEX(Tareas!$A$6:$A$205,MATCH(F$5&amp;"_"&amp;188,Tareas!$N$6:$N$205,0),1)&amp;" · "&amp;INDEX(Tareas!$D$6:$D$205,MATCH(F$5&amp;"_"&amp;188,Tareas!$N$6:$N$205,0),1)&amp;CHAR(10)&amp;INDEX(Tareas!$C$6:$C$205,MATCH(F$5&amp;"_"&amp;188,Tareas!$N$6:$N$205,0),1)&amp;CHAR(10)&amp;INDEX(Tareas!$E$6:$E$205,MATCH(F$5&amp;"_"&amp;188,Tareas!$N$6:$N$205,0),1)&amp;CHAR(10)&amp;INDEX(Tareas!$O$6:$O$205,MATCH(F$5&amp;"_"&amp;188,Tareas!$N$6:$N$205,0),1))</x:f>
      </x:c>
    </x:row>
    <x:row r="194" ht="76" customHeight="1">
      <x:c r="A194" s="21" t="str">
        <x:f>IF(189&gt;A$4,"",INDEX(Tareas!$A$6:$A$205,MATCH(A$5&amp;"_"&amp;189,Tareas!$N$6:$N$205,0),1)&amp;" · "&amp;INDEX(Tareas!$D$6:$D$205,MATCH(A$5&amp;"_"&amp;189,Tareas!$N$6:$N$205,0),1)&amp;CHAR(10)&amp;INDEX(Tareas!$C$6:$C$205,MATCH(A$5&amp;"_"&amp;189,Tareas!$N$6:$N$205,0),1)&amp;CHAR(10)&amp;INDEX(Tareas!$E$6:$E$205,MATCH(A$5&amp;"_"&amp;189,Tareas!$N$6:$N$205,0),1)&amp;CHAR(10)&amp;INDEX(Tareas!$O$6:$O$205,MATCH(A$5&amp;"_"&amp;189,Tareas!$N$6:$N$205,0),1))</x:f>
      </x:c>
      <x:c r="B194" s="21" t="str">
        <x:f>IF(189&gt;B$4,"",INDEX(Tareas!$A$6:$A$205,MATCH(B$5&amp;"_"&amp;189,Tareas!$N$6:$N$205,0),1)&amp;" · "&amp;INDEX(Tareas!$D$6:$D$205,MATCH(B$5&amp;"_"&amp;189,Tareas!$N$6:$N$205,0),1)&amp;CHAR(10)&amp;INDEX(Tareas!$C$6:$C$205,MATCH(B$5&amp;"_"&amp;189,Tareas!$N$6:$N$205,0),1)&amp;CHAR(10)&amp;INDEX(Tareas!$E$6:$E$205,MATCH(B$5&amp;"_"&amp;189,Tareas!$N$6:$N$205,0),1)&amp;CHAR(10)&amp;INDEX(Tareas!$O$6:$O$205,MATCH(B$5&amp;"_"&amp;189,Tareas!$N$6:$N$205,0),1))</x:f>
      </x:c>
      <x:c r="C194" s="21" t="str">
        <x:f>IF(189&gt;C$4,"",INDEX(Tareas!$A$6:$A$205,MATCH(C$5&amp;"_"&amp;189,Tareas!$N$6:$N$205,0),1)&amp;" · "&amp;INDEX(Tareas!$D$6:$D$205,MATCH(C$5&amp;"_"&amp;189,Tareas!$N$6:$N$205,0),1)&amp;CHAR(10)&amp;INDEX(Tareas!$C$6:$C$205,MATCH(C$5&amp;"_"&amp;189,Tareas!$N$6:$N$205,0),1)&amp;CHAR(10)&amp;INDEX(Tareas!$E$6:$E$205,MATCH(C$5&amp;"_"&amp;189,Tareas!$N$6:$N$205,0),1)&amp;CHAR(10)&amp;INDEX(Tareas!$O$6:$O$205,MATCH(C$5&amp;"_"&amp;189,Tareas!$N$6:$N$205,0),1))</x:f>
      </x:c>
      <x:c r="D194" s="21" t="str">
        <x:f>IF(189&gt;D$4,"",INDEX(Tareas!$A$6:$A$205,MATCH(D$5&amp;"_"&amp;189,Tareas!$N$6:$N$205,0),1)&amp;" · "&amp;INDEX(Tareas!$D$6:$D$205,MATCH(D$5&amp;"_"&amp;189,Tareas!$N$6:$N$205,0),1)&amp;CHAR(10)&amp;INDEX(Tareas!$C$6:$C$205,MATCH(D$5&amp;"_"&amp;189,Tareas!$N$6:$N$205,0),1)&amp;CHAR(10)&amp;INDEX(Tareas!$E$6:$E$205,MATCH(D$5&amp;"_"&amp;189,Tareas!$N$6:$N$205,0),1)&amp;CHAR(10)&amp;INDEX(Tareas!$O$6:$O$205,MATCH(D$5&amp;"_"&amp;189,Tareas!$N$6:$N$205,0),1))</x:f>
      </x:c>
      <x:c r="E194" s="21" t="str">
        <x:f>IF(189&gt;E$4,"",INDEX(Tareas!$A$6:$A$205,MATCH(E$5&amp;"_"&amp;189,Tareas!$N$6:$N$205,0),1)&amp;" · "&amp;INDEX(Tareas!$D$6:$D$205,MATCH(E$5&amp;"_"&amp;189,Tareas!$N$6:$N$205,0),1)&amp;CHAR(10)&amp;INDEX(Tareas!$C$6:$C$205,MATCH(E$5&amp;"_"&amp;189,Tareas!$N$6:$N$205,0),1)&amp;CHAR(10)&amp;INDEX(Tareas!$E$6:$E$205,MATCH(E$5&amp;"_"&amp;189,Tareas!$N$6:$N$205,0),1)&amp;CHAR(10)&amp;INDEX(Tareas!$O$6:$O$205,MATCH(E$5&amp;"_"&amp;189,Tareas!$N$6:$N$205,0),1))</x:f>
      </x:c>
      <x:c r="F194" s="21" t="str">
        <x:f>IF(189&gt;F$4,"",INDEX(Tareas!$A$6:$A$205,MATCH(F$5&amp;"_"&amp;189,Tareas!$N$6:$N$205,0),1)&amp;" · "&amp;INDEX(Tareas!$D$6:$D$205,MATCH(F$5&amp;"_"&amp;189,Tareas!$N$6:$N$205,0),1)&amp;CHAR(10)&amp;INDEX(Tareas!$C$6:$C$205,MATCH(F$5&amp;"_"&amp;189,Tareas!$N$6:$N$205,0),1)&amp;CHAR(10)&amp;INDEX(Tareas!$E$6:$E$205,MATCH(F$5&amp;"_"&amp;189,Tareas!$N$6:$N$205,0),1)&amp;CHAR(10)&amp;INDEX(Tareas!$O$6:$O$205,MATCH(F$5&amp;"_"&amp;189,Tareas!$N$6:$N$205,0),1))</x:f>
      </x:c>
    </x:row>
    <x:row r="195" ht="76" customHeight="1">
      <x:c r="A195" s="21" t="str">
        <x:f>IF(190&gt;A$4,"",INDEX(Tareas!$A$6:$A$205,MATCH(A$5&amp;"_"&amp;190,Tareas!$N$6:$N$205,0),1)&amp;" · "&amp;INDEX(Tareas!$D$6:$D$205,MATCH(A$5&amp;"_"&amp;190,Tareas!$N$6:$N$205,0),1)&amp;CHAR(10)&amp;INDEX(Tareas!$C$6:$C$205,MATCH(A$5&amp;"_"&amp;190,Tareas!$N$6:$N$205,0),1)&amp;CHAR(10)&amp;INDEX(Tareas!$E$6:$E$205,MATCH(A$5&amp;"_"&amp;190,Tareas!$N$6:$N$205,0),1)&amp;CHAR(10)&amp;INDEX(Tareas!$O$6:$O$205,MATCH(A$5&amp;"_"&amp;190,Tareas!$N$6:$N$205,0),1))</x:f>
      </x:c>
      <x:c r="B195" s="21" t="str">
        <x:f>IF(190&gt;B$4,"",INDEX(Tareas!$A$6:$A$205,MATCH(B$5&amp;"_"&amp;190,Tareas!$N$6:$N$205,0),1)&amp;" · "&amp;INDEX(Tareas!$D$6:$D$205,MATCH(B$5&amp;"_"&amp;190,Tareas!$N$6:$N$205,0),1)&amp;CHAR(10)&amp;INDEX(Tareas!$C$6:$C$205,MATCH(B$5&amp;"_"&amp;190,Tareas!$N$6:$N$205,0),1)&amp;CHAR(10)&amp;INDEX(Tareas!$E$6:$E$205,MATCH(B$5&amp;"_"&amp;190,Tareas!$N$6:$N$205,0),1)&amp;CHAR(10)&amp;INDEX(Tareas!$O$6:$O$205,MATCH(B$5&amp;"_"&amp;190,Tareas!$N$6:$N$205,0),1))</x:f>
      </x:c>
      <x:c r="C195" s="21" t="str">
        <x:f>IF(190&gt;C$4,"",INDEX(Tareas!$A$6:$A$205,MATCH(C$5&amp;"_"&amp;190,Tareas!$N$6:$N$205,0),1)&amp;" · "&amp;INDEX(Tareas!$D$6:$D$205,MATCH(C$5&amp;"_"&amp;190,Tareas!$N$6:$N$205,0),1)&amp;CHAR(10)&amp;INDEX(Tareas!$C$6:$C$205,MATCH(C$5&amp;"_"&amp;190,Tareas!$N$6:$N$205,0),1)&amp;CHAR(10)&amp;INDEX(Tareas!$E$6:$E$205,MATCH(C$5&amp;"_"&amp;190,Tareas!$N$6:$N$205,0),1)&amp;CHAR(10)&amp;INDEX(Tareas!$O$6:$O$205,MATCH(C$5&amp;"_"&amp;190,Tareas!$N$6:$N$205,0),1))</x:f>
      </x:c>
      <x:c r="D195" s="21" t="str">
        <x:f>IF(190&gt;D$4,"",INDEX(Tareas!$A$6:$A$205,MATCH(D$5&amp;"_"&amp;190,Tareas!$N$6:$N$205,0),1)&amp;" · "&amp;INDEX(Tareas!$D$6:$D$205,MATCH(D$5&amp;"_"&amp;190,Tareas!$N$6:$N$205,0),1)&amp;CHAR(10)&amp;INDEX(Tareas!$C$6:$C$205,MATCH(D$5&amp;"_"&amp;190,Tareas!$N$6:$N$205,0),1)&amp;CHAR(10)&amp;INDEX(Tareas!$E$6:$E$205,MATCH(D$5&amp;"_"&amp;190,Tareas!$N$6:$N$205,0),1)&amp;CHAR(10)&amp;INDEX(Tareas!$O$6:$O$205,MATCH(D$5&amp;"_"&amp;190,Tareas!$N$6:$N$205,0),1))</x:f>
      </x:c>
      <x:c r="E195" s="21" t="str">
        <x:f>IF(190&gt;E$4,"",INDEX(Tareas!$A$6:$A$205,MATCH(E$5&amp;"_"&amp;190,Tareas!$N$6:$N$205,0),1)&amp;" · "&amp;INDEX(Tareas!$D$6:$D$205,MATCH(E$5&amp;"_"&amp;190,Tareas!$N$6:$N$205,0),1)&amp;CHAR(10)&amp;INDEX(Tareas!$C$6:$C$205,MATCH(E$5&amp;"_"&amp;190,Tareas!$N$6:$N$205,0),1)&amp;CHAR(10)&amp;INDEX(Tareas!$E$6:$E$205,MATCH(E$5&amp;"_"&amp;190,Tareas!$N$6:$N$205,0),1)&amp;CHAR(10)&amp;INDEX(Tareas!$O$6:$O$205,MATCH(E$5&amp;"_"&amp;190,Tareas!$N$6:$N$205,0),1))</x:f>
      </x:c>
      <x:c r="F195" s="21" t="str">
        <x:f>IF(190&gt;F$4,"",INDEX(Tareas!$A$6:$A$205,MATCH(F$5&amp;"_"&amp;190,Tareas!$N$6:$N$205,0),1)&amp;" · "&amp;INDEX(Tareas!$D$6:$D$205,MATCH(F$5&amp;"_"&amp;190,Tareas!$N$6:$N$205,0),1)&amp;CHAR(10)&amp;INDEX(Tareas!$C$6:$C$205,MATCH(F$5&amp;"_"&amp;190,Tareas!$N$6:$N$205,0),1)&amp;CHAR(10)&amp;INDEX(Tareas!$E$6:$E$205,MATCH(F$5&amp;"_"&amp;190,Tareas!$N$6:$N$205,0),1)&amp;CHAR(10)&amp;INDEX(Tareas!$O$6:$O$205,MATCH(F$5&amp;"_"&amp;190,Tareas!$N$6:$N$205,0),1))</x:f>
      </x:c>
    </x:row>
    <x:row r="196" ht="76" customHeight="1">
      <x:c r="A196" s="21" t="str">
        <x:f>IF(191&gt;A$4,"",INDEX(Tareas!$A$6:$A$205,MATCH(A$5&amp;"_"&amp;191,Tareas!$N$6:$N$205,0),1)&amp;" · "&amp;INDEX(Tareas!$D$6:$D$205,MATCH(A$5&amp;"_"&amp;191,Tareas!$N$6:$N$205,0),1)&amp;CHAR(10)&amp;INDEX(Tareas!$C$6:$C$205,MATCH(A$5&amp;"_"&amp;191,Tareas!$N$6:$N$205,0),1)&amp;CHAR(10)&amp;INDEX(Tareas!$E$6:$E$205,MATCH(A$5&amp;"_"&amp;191,Tareas!$N$6:$N$205,0),1)&amp;CHAR(10)&amp;INDEX(Tareas!$O$6:$O$205,MATCH(A$5&amp;"_"&amp;191,Tareas!$N$6:$N$205,0),1))</x:f>
      </x:c>
      <x:c r="B196" s="21" t="str">
        <x:f>IF(191&gt;B$4,"",INDEX(Tareas!$A$6:$A$205,MATCH(B$5&amp;"_"&amp;191,Tareas!$N$6:$N$205,0),1)&amp;" · "&amp;INDEX(Tareas!$D$6:$D$205,MATCH(B$5&amp;"_"&amp;191,Tareas!$N$6:$N$205,0),1)&amp;CHAR(10)&amp;INDEX(Tareas!$C$6:$C$205,MATCH(B$5&amp;"_"&amp;191,Tareas!$N$6:$N$205,0),1)&amp;CHAR(10)&amp;INDEX(Tareas!$E$6:$E$205,MATCH(B$5&amp;"_"&amp;191,Tareas!$N$6:$N$205,0),1)&amp;CHAR(10)&amp;INDEX(Tareas!$O$6:$O$205,MATCH(B$5&amp;"_"&amp;191,Tareas!$N$6:$N$205,0),1))</x:f>
      </x:c>
      <x:c r="C196" s="21" t="str">
        <x:f>IF(191&gt;C$4,"",INDEX(Tareas!$A$6:$A$205,MATCH(C$5&amp;"_"&amp;191,Tareas!$N$6:$N$205,0),1)&amp;" · "&amp;INDEX(Tareas!$D$6:$D$205,MATCH(C$5&amp;"_"&amp;191,Tareas!$N$6:$N$205,0),1)&amp;CHAR(10)&amp;INDEX(Tareas!$C$6:$C$205,MATCH(C$5&amp;"_"&amp;191,Tareas!$N$6:$N$205,0),1)&amp;CHAR(10)&amp;INDEX(Tareas!$E$6:$E$205,MATCH(C$5&amp;"_"&amp;191,Tareas!$N$6:$N$205,0),1)&amp;CHAR(10)&amp;INDEX(Tareas!$O$6:$O$205,MATCH(C$5&amp;"_"&amp;191,Tareas!$N$6:$N$205,0),1))</x:f>
      </x:c>
      <x:c r="D196" s="21" t="str">
        <x:f>IF(191&gt;D$4,"",INDEX(Tareas!$A$6:$A$205,MATCH(D$5&amp;"_"&amp;191,Tareas!$N$6:$N$205,0),1)&amp;" · "&amp;INDEX(Tareas!$D$6:$D$205,MATCH(D$5&amp;"_"&amp;191,Tareas!$N$6:$N$205,0),1)&amp;CHAR(10)&amp;INDEX(Tareas!$C$6:$C$205,MATCH(D$5&amp;"_"&amp;191,Tareas!$N$6:$N$205,0),1)&amp;CHAR(10)&amp;INDEX(Tareas!$E$6:$E$205,MATCH(D$5&amp;"_"&amp;191,Tareas!$N$6:$N$205,0),1)&amp;CHAR(10)&amp;INDEX(Tareas!$O$6:$O$205,MATCH(D$5&amp;"_"&amp;191,Tareas!$N$6:$N$205,0),1))</x:f>
      </x:c>
      <x:c r="E196" s="21" t="str">
        <x:f>IF(191&gt;E$4,"",INDEX(Tareas!$A$6:$A$205,MATCH(E$5&amp;"_"&amp;191,Tareas!$N$6:$N$205,0),1)&amp;" · "&amp;INDEX(Tareas!$D$6:$D$205,MATCH(E$5&amp;"_"&amp;191,Tareas!$N$6:$N$205,0),1)&amp;CHAR(10)&amp;INDEX(Tareas!$C$6:$C$205,MATCH(E$5&amp;"_"&amp;191,Tareas!$N$6:$N$205,0),1)&amp;CHAR(10)&amp;INDEX(Tareas!$E$6:$E$205,MATCH(E$5&amp;"_"&amp;191,Tareas!$N$6:$N$205,0),1)&amp;CHAR(10)&amp;INDEX(Tareas!$O$6:$O$205,MATCH(E$5&amp;"_"&amp;191,Tareas!$N$6:$N$205,0),1))</x:f>
      </x:c>
      <x:c r="F196" s="21" t="str">
        <x:f>IF(191&gt;F$4,"",INDEX(Tareas!$A$6:$A$205,MATCH(F$5&amp;"_"&amp;191,Tareas!$N$6:$N$205,0),1)&amp;" · "&amp;INDEX(Tareas!$D$6:$D$205,MATCH(F$5&amp;"_"&amp;191,Tareas!$N$6:$N$205,0),1)&amp;CHAR(10)&amp;INDEX(Tareas!$C$6:$C$205,MATCH(F$5&amp;"_"&amp;191,Tareas!$N$6:$N$205,0),1)&amp;CHAR(10)&amp;INDEX(Tareas!$E$6:$E$205,MATCH(F$5&amp;"_"&amp;191,Tareas!$N$6:$N$205,0),1)&amp;CHAR(10)&amp;INDEX(Tareas!$O$6:$O$205,MATCH(F$5&amp;"_"&amp;191,Tareas!$N$6:$N$205,0),1))</x:f>
      </x:c>
    </x:row>
    <x:row r="197" ht="76" customHeight="1">
      <x:c r="A197" s="21" t="str">
        <x:f>IF(192&gt;A$4,"",INDEX(Tareas!$A$6:$A$205,MATCH(A$5&amp;"_"&amp;192,Tareas!$N$6:$N$205,0),1)&amp;" · "&amp;INDEX(Tareas!$D$6:$D$205,MATCH(A$5&amp;"_"&amp;192,Tareas!$N$6:$N$205,0),1)&amp;CHAR(10)&amp;INDEX(Tareas!$C$6:$C$205,MATCH(A$5&amp;"_"&amp;192,Tareas!$N$6:$N$205,0),1)&amp;CHAR(10)&amp;INDEX(Tareas!$E$6:$E$205,MATCH(A$5&amp;"_"&amp;192,Tareas!$N$6:$N$205,0),1)&amp;CHAR(10)&amp;INDEX(Tareas!$O$6:$O$205,MATCH(A$5&amp;"_"&amp;192,Tareas!$N$6:$N$205,0),1))</x:f>
      </x:c>
      <x:c r="B197" s="21" t="str">
        <x:f>IF(192&gt;B$4,"",INDEX(Tareas!$A$6:$A$205,MATCH(B$5&amp;"_"&amp;192,Tareas!$N$6:$N$205,0),1)&amp;" · "&amp;INDEX(Tareas!$D$6:$D$205,MATCH(B$5&amp;"_"&amp;192,Tareas!$N$6:$N$205,0),1)&amp;CHAR(10)&amp;INDEX(Tareas!$C$6:$C$205,MATCH(B$5&amp;"_"&amp;192,Tareas!$N$6:$N$205,0),1)&amp;CHAR(10)&amp;INDEX(Tareas!$E$6:$E$205,MATCH(B$5&amp;"_"&amp;192,Tareas!$N$6:$N$205,0),1)&amp;CHAR(10)&amp;INDEX(Tareas!$O$6:$O$205,MATCH(B$5&amp;"_"&amp;192,Tareas!$N$6:$N$205,0),1))</x:f>
      </x:c>
      <x:c r="C197" s="21" t="str">
        <x:f>IF(192&gt;C$4,"",INDEX(Tareas!$A$6:$A$205,MATCH(C$5&amp;"_"&amp;192,Tareas!$N$6:$N$205,0),1)&amp;" · "&amp;INDEX(Tareas!$D$6:$D$205,MATCH(C$5&amp;"_"&amp;192,Tareas!$N$6:$N$205,0),1)&amp;CHAR(10)&amp;INDEX(Tareas!$C$6:$C$205,MATCH(C$5&amp;"_"&amp;192,Tareas!$N$6:$N$205,0),1)&amp;CHAR(10)&amp;INDEX(Tareas!$E$6:$E$205,MATCH(C$5&amp;"_"&amp;192,Tareas!$N$6:$N$205,0),1)&amp;CHAR(10)&amp;INDEX(Tareas!$O$6:$O$205,MATCH(C$5&amp;"_"&amp;192,Tareas!$N$6:$N$205,0),1))</x:f>
      </x:c>
      <x:c r="D197" s="21" t="str">
        <x:f>IF(192&gt;D$4,"",INDEX(Tareas!$A$6:$A$205,MATCH(D$5&amp;"_"&amp;192,Tareas!$N$6:$N$205,0),1)&amp;" · "&amp;INDEX(Tareas!$D$6:$D$205,MATCH(D$5&amp;"_"&amp;192,Tareas!$N$6:$N$205,0),1)&amp;CHAR(10)&amp;INDEX(Tareas!$C$6:$C$205,MATCH(D$5&amp;"_"&amp;192,Tareas!$N$6:$N$205,0),1)&amp;CHAR(10)&amp;INDEX(Tareas!$E$6:$E$205,MATCH(D$5&amp;"_"&amp;192,Tareas!$N$6:$N$205,0),1)&amp;CHAR(10)&amp;INDEX(Tareas!$O$6:$O$205,MATCH(D$5&amp;"_"&amp;192,Tareas!$N$6:$N$205,0),1))</x:f>
      </x:c>
      <x:c r="E197" s="21" t="str">
        <x:f>IF(192&gt;E$4,"",INDEX(Tareas!$A$6:$A$205,MATCH(E$5&amp;"_"&amp;192,Tareas!$N$6:$N$205,0),1)&amp;" · "&amp;INDEX(Tareas!$D$6:$D$205,MATCH(E$5&amp;"_"&amp;192,Tareas!$N$6:$N$205,0),1)&amp;CHAR(10)&amp;INDEX(Tareas!$C$6:$C$205,MATCH(E$5&amp;"_"&amp;192,Tareas!$N$6:$N$205,0),1)&amp;CHAR(10)&amp;INDEX(Tareas!$E$6:$E$205,MATCH(E$5&amp;"_"&amp;192,Tareas!$N$6:$N$205,0),1)&amp;CHAR(10)&amp;INDEX(Tareas!$O$6:$O$205,MATCH(E$5&amp;"_"&amp;192,Tareas!$N$6:$N$205,0),1))</x:f>
      </x:c>
      <x:c r="F197" s="21" t="str">
        <x:f>IF(192&gt;F$4,"",INDEX(Tareas!$A$6:$A$205,MATCH(F$5&amp;"_"&amp;192,Tareas!$N$6:$N$205,0),1)&amp;" · "&amp;INDEX(Tareas!$D$6:$D$205,MATCH(F$5&amp;"_"&amp;192,Tareas!$N$6:$N$205,0),1)&amp;CHAR(10)&amp;INDEX(Tareas!$C$6:$C$205,MATCH(F$5&amp;"_"&amp;192,Tareas!$N$6:$N$205,0),1)&amp;CHAR(10)&amp;INDEX(Tareas!$E$6:$E$205,MATCH(F$5&amp;"_"&amp;192,Tareas!$N$6:$N$205,0),1)&amp;CHAR(10)&amp;INDEX(Tareas!$O$6:$O$205,MATCH(F$5&amp;"_"&amp;192,Tareas!$N$6:$N$205,0),1))</x:f>
      </x:c>
    </x:row>
    <x:row r="198" ht="76" customHeight="1">
      <x:c r="A198" s="21" t="str">
        <x:f>IF(193&gt;A$4,"",INDEX(Tareas!$A$6:$A$205,MATCH(A$5&amp;"_"&amp;193,Tareas!$N$6:$N$205,0),1)&amp;" · "&amp;INDEX(Tareas!$D$6:$D$205,MATCH(A$5&amp;"_"&amp;193,Tareas!$N$6:$N$205,0),1)&amp;CHAR(10)&amp;INDEX(Tareas!$C$6:$C$205,MATCH(A$5&amp;"_"&amp;193,Tareas!$N$6:$N$205,0),1)&amp;CHAR(10)&amp;INDEX(Tareas!$E$6:$E$205,MATCH(A$5&amp;"_"&amp;193,Tareas!$N$6:$N$205,0),1)&amp;CHAR(10)&amp;INDEX(Tareas!$O$6:$O$205,MATCH(A$5&amp;"_"&amp;193,Tareas!$N$6:$N$205,0),1))</x:f>
      </x:c>
      <x:c r="B198" s="21" t="str">
        <x:f>IF(193&gt;B$4,"",INDEX(Tareas!$A$6:$A$205,MATCH(B$5&amp;"_"&amp;193,Tareas!$N$6:$N$205,0),1)&amp;" · "&amp;INDEX(Tareas!$D$6:$D$205,MATCH(B$5&amp;"_"&amp;193,Tareas!$N$6:$N$205,0),1)&amp;CHAR(10)&amp;INDEX(Tareas!$C$6:$C$205,MATCH(B$5&amp;"_"&amp;193,Tareas!$N$6:$N$205,0),1)&amp;CHAR(10)&amp;INDEX(Tareas!$E$6:$E$205,MATCH(B$5&amp;"_"&amp;193,Tareas!$N$6:$N$205,0),1)&amp;CHAR(10)&amp;INDEX(Tareas!$O$6:$O$205,MATCH(B$5&amp;"_"&amp;193,Tareas!$N$6:$N$205,0),1))</x:f>
      </x:c>
      <x:c r="C198" s="21" t="str">
        <x:f>IF(193&gt;C$4,"",INDEX(Tareas!$A$6:$A$205,MATCH(C$5&amp;"_"&amp;193,Tareas!$N$6:$N$205,0),1)&amp;" · "&amp;INDEX(Tareas!$D$6:$D$205,MATCH(C$5&amp;"_"&amp;193,Tareas!$N$6:$N$205,0),1)&amp;CHAR(10)&amp;INDEX(Tareas!$C$6:$C$205,MATCH(C$5&amp;"_"&amp;193,Tareas!$N$6:$N$205,0),1)&amp;CHAR(10)&amp;INDEX(Tareas!$E$6:$E$205,MATCH(C$5&amp;"_"&amp;193,Tareas!$N$6:$N$205,0),1)&amp;CHAR(10)&amp;INDEX(Tareas!$O$6:$O$205,MATCH(C$5&amp;"_"&amp;193,Tareas!$N$6:$N$205,0),1))</x:f>
      </x:c>
      <x:c r="D198" s="21" t="str">
        <x:f>IF(193&gt;D$4,"",INDEX(Tareas!$A$6:$A$205,MATCH(D$5&amp;"_"&amp;193,Tareas!$N$6:$N$205,0),1)&amp;" · "&amp;INDEX(Tareas!$D$6:$D$205,MATCH(D$5&amp;"_"&amp;193,Tareas!$N$6:$N$205,0),1)&amp;CHAR(10)&amp;INDEX(Tareas!$C$6:$C$205,MATCH(D$5&amp;"_"&amp;193,Tareas!$N$6:$N$205,0),1)&amp;CHAR(10)&amp;INDEX(Tareas!$E$6:$E$205,MATCH(D$5&amp;"_"&amp;193,Tareas!$N$6:$N$205,0),1)&amp;CHAR(10)&amp;INDEX(Tareas!$O$6:$O$205,MATCH(D$5&amp;"_"&amp;193,Tareas!$N$6:$N$205,0),1))</x:f>
      </x:c>
      <x:c r="E198" s="21" t="str">
        <x:f>IF(193&gt;E$4,"",INDEX(Tareas!$A$6:$A$205,MATCH(E$5&amp;"_"&amp;193,Tareas!$N$6:$N$205,0),1)&amp;" · "&amp;INDEX(Tareas!$D$6:$D$205,MATCH(E$5&amp;"_"&amp;193,Tareas!$N$6:$N$205,0),1)&amp;CHAR(10)&amp;INDEX(Tareas!$C$6:$C$205,MATCH(E$5&amp;"_"&amp;193,Tareas!$N$6:$N$205,0),1)&amp;CHAR(10)&amp;INDEX(Tareas!$E$6:$E$205,MATCH(E$5&amp;"_"&amp;193,Tareas!$N$6:$N$205,0),1)&amp;CHAR(10)&amp;INDEX(Tareas!$O$6:$O$205,MATCH(E$5&amp;"_"&amp;193,Tareas!$N$6:$N$205,0),1))</x:f>
      </x:c>
      <x:c r="F198" s="21" t="str">
        <x:f>IF(193&gt;F$4,"",INDEX(Tareas!$A$6:$A$205,MATCH(F$5&amp;"_"&amp;193,Tareas!$N$6:$N$205,0),1)&amp;" · "&amp;INDEX(Tareas!$D$6:$D$205,MATCH(F$5&amp;"_"&amp;193,Tareas!$N$6:$N$205,0),1)&amp;CHAR(10)&amp;INDEX(Tareas!$C$6:$C$205,MATCH(F$5&amp;"_"&amp;193,Tareas!$N$6:$N$205,0),1)&amp;CHAR(10)&amp;INDEX(Tareas!$E$6:$E$205,MATCH(F$5&amp;"_"&amp;193,Tareas!$N$6:$N$205,0),1)&amp;CHAR(10)&amp;INDEX(Tareas!$O$6:$O$205,MATCH(F$5&amp;"_"&amp;193,Tareas!$N$6:$N$205,0),1))</x:f>
      </x:c>
    </x:row>
    <x:row r="199" ht="76" customHeight="1">
      <x:c r="A199" s="21" t="str">
        <x:f>IF(194&gt;A$4,"",INDEX(Tareas!$A$6:$A$205,MATCH(A$5&amp;"_"&amp;194,Tareas!$N$6:$N$205,0),1)&amp;" · "&amp;INDEX(Tareas!$D$6:$D$205,MATCH(A$5&amp;"_"&amp;194,Tareas!$N$6:$N$205,0),1)&amp;CHAR(10)&amp;INDEX(Tareas!$C$6:$C$205,MATCH(A$5&amp;"_"&amp;194,Tareas!$N$6:$N$205,0),1)&amp;CHAR(10)&amp;INDEX(Tareas!$E$6:$E$205,MATCH(A$5&amp;"_"&amp;194,Tareas!$N$6:$N$205,0),1)&amp;CHAR(10)&amp;INDEX(Tareas!$O$6:$O$205,MATCH(A$5&amp;"_"&amp;194,Tareas!$N$6:$N$205,0),1))</x:f>
      </x:c>
      <x:c r="B199" s="21" t="str">
        <x:f>IF(194&gt;B$4,"",INDEX(Tareas!$A$6:$A$205,MATCH(B$5&amp;"_"&amp;194,Tareas!$N$6:$N$205,0),1)&amp;" · "&amp;INDEX(Tareas!$D$6:$D$205,MATCH(B$5&amp;"_"&amp;194,Tareas!$N$6:$N$205,0),1)&amp;CHAR(10)&amp;INDEX(Tareas!$C$6:$C$205,MATCH(B$5&amp;"_"&amp;194,Tareas!$N$6:$N$205,0),1)&amp;CHAR(10)&amp;INDEX(Tareas!$E$6:$E$205,MATCH(B$5&amp;"_"&amp;194,Tareas!$N$6:$N$205,0),1)&amp;CHAR(10)&amp;INDEX(Tareas!$O$6:$O$205,MATCH(B$5&amp;"_"&amp;194,Tareas!$N$6:$N$205,0),1))</x:f>
      </x:c>
      <x:c r="C199" s="21" t="str">
        <x:f>IF(194&gt;C$4,"",INDEX(Tareas!$A$6:$A$205,MATCH(C$5&amp;"_"&amp;194,Tareas!$N$6:$N$205,0),1)&amp;" · "&amp;INDEX(Tareas!$D$6:$D$205,MATCH(C$5&amp;"_"&amp;194,Tareas!$N$6:$N$205,0),1)&amp;CHAR(10)&amp;INDEX(Tareas!$C$6:$C$205,MATCH(C$5&amp;"_"&amp;194,Tareas!$N$6:$N$205,0),1)&amp;CHAR(10)&amp;INDEX(Tareas!$E$6:$E$205,MATCH(C$5&amp;"_"&amp;194,Tareas!$N$6:$N$205,0),1)&amp;CHAR(10)&amp;INDEX(Tareas!$O$6:$O$205,MATCH(C$5&amp;"_"&amp;194,Tareas!$N$6:$N$205,0),1))</x:f>
      </x:c>
      <x:c r="D199" s="21" t="str">
        <x:f>IF(194&gt;D$4,"",INDEX(Tareas!$A$6:$A$205,MATCH(D$5&amp;"_"&amp;194,Tareas!$N$6:$N$205,0),1)&amp;" · "&amp;INDEX(Tareas!$D$6:$D$205,MATCH(D$5&amp;"_"&amp;194,Tareas!$N$6:$N$205,0),1)&amp;CHAR(10)&amp;INDEX(Tareas!$C$6:$C$205,MATCH(D$5&amp;"_"&amp;194,Tareas!$N$6:$N$205,0),1)&amp;CHAR(10)&amp;INDEX(Tareas!$E$6:$E$205,MATCH(D$5&amp;"_"&amp;194,Tareas!$N$6:$N$205,0),1)&amp;CHAR(10)&amp;INDEX(Tareas!$O$6:$O$205,MATCH(D$5&amp;"_"&amp;194,Tareas!$N$6:$N$205,0),1))</x:f>
      </x:c>
      <x:c r="E199" s="21" t="str">
        <x:f>IF(194&gt;E$4,"",INDEX(Tareas!$A$6:$A$205,MATCH(E$5&amp;"_"&amp;194,Tareas!$N$6:$N$205,0),1)&amp;" · "&amp;INDEX(Tareas!$D$6:$D$205,MATCH(E$5&amp;"_"&amp;194,Tareas!$N$6:$N$205,0),1)&amp;CHAR(10)&amp;INDEX(Tareas!$C$6:$C$205,MATCH(E$5&amp;"_"&amp;194,Tareas!$N$6:$N$205,0),1)&amp;CHAR(10)&amp;INDEX(Tareas!$E$6:$E$205,MATCH(E$5&amp;"_"&amp;194,Tareas!$N$6:$N$205,0),1)&amp;CHAR(10)&amp;INDEX(Tareas!$O$6:$O$205,MATCH(E$5&amp;"_"&amp;194,Tareas!$N$6:$N$205,0),1))</x:f>
      </x:c>
      <x:c r="F199" s="21" t="str">
        <x:f>IF(194&gt;F$4,"",INDEX(Tareas!$A$6:$A$205,MATCH(F$5&amp;"_"&amp;194,Tareas!$N$6:$N$205,0),1)&amp;" · "&amp;INDEX(Tareas!$D$6:$D$205,MATCH(F$5&amp;"_"&amp;194,Tareas!$N$6:$N$205,0),1)&amp;CHAR(10)&amp;INDEX(Tareas!$C$6:$C$205,MATCH(F$5&amp;"_"&amp;194,Tareas!$N$6:$N$205,0),1)&amp;CHAR(10)&amp;INDEX(Tareas!$E$6:$E$205,MATCH(F$5&amp;"_"&amp;194,Tareas!$N$6:$N$205,0),1)&amp;CHAR(10)&amp;INDEX(Tareas!$O$6:$O$205,MATCH(F$5&amp;"_"&amp;194,Tareas!$N$6:$N$205,0),1))</x:f>
      </x:c>
    </x:row>
    <x:row r="200" ht="76" customHeight="1">
      <x:c r="A200" s="21" t="str">
        <x:f>IF(195&gt;A$4,"",INDEX(Tareas!$A$6:$A$205,MATCH(A$5&amp;"_"&amp;195,Tareas!$N$6:$N$205,0),1)&amp;" · "&amp;INDEX(Tareas!$D$6:$D$205,MATCH(A$5&amp;"_"&amp;195,Tareas!$N$6:$N$205,0),1)&amp;CHAR(10)&amp;INDEX(Tareas!$C$6:$C$205,MATCH(A$5&amp;"_"&amp;195,Tareas!$N$6:$N$205,0),1)&amp;CHAR(10)&amp;INDEX(Tareas!$E$6:$E$205,MATCH(A$5&amp;"_"&amp;195,Tareas!$N$6:$N$205,0),1)&amp;CHAR(10)&amp;INDEX(Tareas!$O$6:$O$205,MATCH(A$5&amp;"_"&amp;195,Tareas!$N$6:$N$205,0),1))</x:f>
      </x:c>
      <x:c r="B200" s="21" t="str">
        <x:f>IF(195&gt;B$4,"",INDEX(Tareas!$A$6:$A$205,MATCH(B$5&amp;"_"&amp;195,Tareas!$N$6:$N$205,0),1)&amp;" · "&amp;INDEX(Tareas!$D$6:$D$205,MATCH(B$5&amp;"_"&amp;195,Tareas!$N$6:$N$205,0),1)&amp;CHAR(10)&amp;INDEX(Tareas!$C$6:$C$205,MATCH(B$5&amp;"_"&amp;195,Tareas!$N$6:$N$205,0),1)&amp;CHAR(10)&amp;INDEX(Tareas!$E$6:$E$205,MATCH(B$5&amp;"_"&amp;195,Tareas!$N$6:$N$205,0),1)&amp;CHAR(10)&amp;INDEX(Tareas!$O$6:$O$205,MATCH(B$5&amp;"_"&amp;195,Tareas!$N$6:$N$205,0),1))</x:f>
      </x:c>
      <x:c r="C200" s="21" t="str">
        <x:f>IF(195&gt;C$4,"",INDEX(Tareas!$A$6:$A$205,MATCH(C$5&amp;"_"&amp;195,Tareas!$N$6:$N$205,0),1)&amp;" · "&amp;INDEX(Tareas!$D$6:$D$205,MATCH(C$5&amp;"_"&amp;195,Tareas!$N$6:$N$205,0),1)&amp;CHAR(10)&amp;INDEX(Tareas!$C$6:$C$205,MATCH(C$5&amp;"_"&amp;195,Tareas!$N$6:$N$205,0),1)&amp;CHAR(10)&amp;INDEX(Tareas!$E$6:$E$205,MATCH(C$5&amp;"_"&amp;195,Tareas!$N$6:$N$205,0),1)&amp;CHAR(10)&amp;INDEX(Tareas!$O$6:$O$205,MATCH(C$5&amp;"_"&amp;195,Tareas!$N$6:$N$205,0),1))</x:f>
      </x:c>
      <x:c r="D200" s="21" t="str">
        <x:f>IF(195&gt;D$4,"",INDEX(Tareas!$A$6:$A$205,MATCH(D$5&amp;"_"&amp;195,Tareas!$N$6:$N$205,0),1)&amp;" · "&amp;INDEX(Tareas!$D$6:$D$205,MATCH(D$5&amp;"_"&amp;195,Tareas!$N$6:$N$205,0),1)&amp;CHAR(10)&amp;INDEX(Tareas!$C$6:$C$205,MATCH(D$5&amp;"_"&amp;195,Tareas!$N$6:$N$205,0),1)&amp;CHAR(10)&amp;INDEX(Tareas!$E$6:$E$205,MATCH(D$5&amp;"_"&amp;195,Tareas!$N$6:$N$205,0),1)&amp;CHAR(10)&amp;INDEX(Tareas!$O$6:$O$205,MATCH(D$5&amp;"_"&amp;195,Tareas!$N$6:$N$205,0),1))</x:f>
      </x:c>
      <x:c r="E200" s="21" t="str">
        <x:f>IF(195&gt;E$4,"",INDEX(Tareas!$A$6:$A$205,MATCH(E$5&amp;"_"&amp;195,Tareas!$N$6:$N$205,0),1)&amp;" · "&amp;INDEX(Tareas!$D$6:$D$205,MATCH(E$5&amp;"_"&amp;195,Tareas!$N$6:$N$205,0),1)&amp;CHAR(10)&amp;INDEX(Tareas!$C$6:$C$205,MATCH(E$5&amp;"_"&amp;195,Tareas!$N$6:$N$205,0),1)&amp;CHAR(10)&amp;INDEX(Tareas!$E$6:$E$205,MATCH(E$5&amp;"_"&amp;195,Tareas!$N$6:$N$205,0),1)&amp;CHAR(10)&amp;INDEX(Tareas!$O$6:$O$205,MATCH(E$5&amp;"_"&amp;195,Tareas!$N$6:$N$205,0),1))</x:f>
      </x:c>
      <x:c r="F200" s="21" t="str">
        <x:f>IF(195&gt;F$4,"",INDEX(Tareas!$A$6:$A$205,MATCH(F$5&amp;"_"&amp;195,Tareas!$N$6:$N$205,0),1)&amp;" · "&amp;INDEX(Tareas!$D$6:$D$205,MATCH(F$5&amp;"_"&amp;195,Tareas!$N$6:$N$205,0),1)&amp;CHAR(10)&amp;INDEX(Tareas!$C$6:$C$205,MATCH(F$5&amp;"_"&amp;195,Tareas!$N$6:$N$205,0),1)&amp;CHAR(10)&amp;INDEX(Tareas!$E$6:$E$205,MATCH(F$5&amp;"_"&amp;195,Tareas!$N$6:$N$205,0),1)&amp;CHAR(10)&amp;INDEX(Tareas!$O$6:$O$205,MATCH(F$5&amp;"_"&amp;195,Tareas!$N$6:$N$205,0),1))</x:f>
      </x:c>
    </x:row>
    <x:row r="201" ht="76" customHeight="1">
      <x:c r="A201" s="21" t="str">
        <x:f>IF(196&gt;A$4,"",INDEX(Tareas!$A$6:$A$205,MATCH(A$5&amp;"_"&amp;196,Tareas!$N$6:$N$205,0),1)&amp;" · "&amp;INDEX(Tareas!$D$6:$D$205,MATCH(A$5&amp;"_"&amp;196,Tareas!$N$6:$N$205,0),1)&amp;CHAR(10)&amp;INDEX(Tareas!$C$6:$C$205,MATCH(A$5&amp;"_"&amp;196,Tareas!$N$6:$N$205,0),1)&amp;CHAR(10)&amp;INDEX(Tareas!$E$6:$E$205,MATCH(A$5&amp;"_"&amp;196,Tareas!$N$6:$N$205,0),1)&amp;CHAR(10)&amp;INDEX(Tareas!$O$6:$O$205,MATCH(A$5&amp;"_"&amp;196,Tareas!$N$6:$N$205,0),1))</x:f>
      </x:c>
      <x:c r="B201" s="21" t="str">
        <x:f>IF(196&gt;B$4,"",INDEX(Tareas!$A$6:$A$205,MATCH(B$5&amp;"_"&amp;196,Tareas!$N$6:$N$205,0),1)&amp;" · "&amp;INDEX(Tareas!$D$6:$D$205,MATCH(B$5&amp;"_"&amp;196,Tareas!$N$6:$N$205,0),1)&amp;CHAR(10)&amp;INDEX(Tareas!$C$6:$C$205,MATCH(B$5&amp;"_"&amp;196,Tareas!$N$6:$N$205,0),1)&amp;CHAR(10)&amp;INDEX(Tareas!$E$6:$E$205,MATCH(B$5&amp;"_"&amp;196,Tareas!$N$6:$N$205,0),1)&amp;CHAR(10)&amp;INDEX(Tareas!$O$6:$O$205,MATCH(B$5&amp;"_"&amp;196,Tareas!$N$6:$N$205,0),1))</x:f>
      </x:c>
      <x:c r="C201" s="21" t="str">
        <x:f>IF(196&gt;C$4,"",INDEX(Tareas!$A$6:$A$205,MATCH(C$5&amp;"_"&amp;196,Tareas!$N$6:$N$205,0),1)&amp;" · "&amp;INDEX(Tareas!$D$6:$D$205,MATCH(C$5&amp;"_"&amp;196,Tareas!$N$6:$N$205,0),1)&amp;CHAR(10)&amp;INDEX(Tareas!$C$6:$C$205,MATCH(C$5&amp;"_"&amp;196,Tareas!$N$6:$N$205,0),1)&amp;CHAR(10)&amp;INDEX(Tareas!$E$6:$E$205,MATCH(C$5&amp;"_"&amp;196,Tareas!$N$6:$N$205,0),1)&amp;CHAR(10)&amp;INDEX(Tareas!$O$6:$O$205,MATCH(C$5&amp;"_"&amp;196,Tareas!$N$6:$N$205,0),1))</x:f>
      </x:c>
      <x:c r="D201" s="21" t="str">
        <x:f>IF(196&gt;D$4,"",INDEX(Tareas!$A$6:$A$205,MATCH(D$5&amp;"_"&amp;196,Tareas!$N$6:$N$205,0),1)&amp;" · "&amp;INDEX(Tareas!$D$6:$D$205,MATCH(D$5&amp;"_"&amp;196,Tareas!$N$6:$N$205,0),1)&amp;CHAR(10)&amp;INDEX(Tareas!$C$6:$C$205,MATCH(D$5&amp;"_"&amp;196,Tareas!$N$6:$N$205,0),1)&amp;CHAR(10)&amp;INDEX(Tareas!$E$6:$E$205,MATCH(D$5&amp;"_"&amp;196,Tareas!$N$6:$N$205,0),1)&amp;CHAR(10)&amp;INDEX(Tareas!$O$6:$O$205,MATCH(D$5&amp;"_"&amp;196,Tareas!$N$6:$N$205,0),1))</x:f>
      </x:c>
      <x:c r="E201" s="21" t="str">
        <x:f>IF(196&gt;E$4,"",INDEX(Tareas!$A$6:$A$205,MATCH(E$5&amp;"_"&amp;196,Tareas!$N$6:$N$205,0),1)&amp;" · "&amp;INDEX(Tareas!$D$6:$D$205,MATCH(E$5&amp;"_"&amp;196,Tareas!$N$6:$N$205,0),1)&amp;CHAR(10)&amp;INDEX(Tareas!$C$6:$C$205,MATCH(E$5&amp;"_"&amp;196,Tareas!$N$6:$N$205,0),1)&amp;CHAR(10)&amp;INDEX(Tareas!$E$6:$E$205,MATCH(E$5&amp;"_"&amp;196,Tareas!$N$6:$N$205,0),1)&amp;CHAR(10)&amp;INDEX(Tareas!$O$6:$O$205,MATCH(E$5&amp;"_"&amp;196,Tareas!$N$6:$N$205,0),1))</x:f>
      </x:c>
      <x:c r="F201" s="21" t="str">
        <x:f>IF(196&gt;F$4,"",INDEX(Tareas!$A$6:$A$205,MATCH(F$5&amp;"_"&amp;196,Tareas!$N$6:$N$205,0),1)&amp;" · "&amp;INDEX(Tareas!$D$6:$D$205,MATCH(F$5&amp;"_"&amp;196,Tareas!$N$6:$N$205,0),1)&amp;CHAR(10)&amp;INDEX(Tareas!$C$6:$C$205,MATCH(F$5&amp;"_"&amp;196,Tareas!$N$6:$N$205,0),1)&amp;CHAR(10)&amp;INDEX(Tareas!$E$6:$E$205,MATCH(F$5&amp;"_"&amp;196,Tareas!$N$6:$N$205,0),1)&amp;CHAR(10)&amp;INDEX(Tareas!$O$6:$O$205,MATCH(F$5&amp;"_"&amp;196,Tareas!$N$6:$N$205,0),1))</x:f>
      </x:c>
    </x:row>
    <x:row r="202" ht="76" customHeight="1">
      <x:c r="A202" s="21" t="str">
        <x:f>IF(197&gt;A$4,"",INDEX(Tareas!$A$6:$A$205,MATCH(A$5&amp;"_"&amp;197,Tareas!$N$6:$N$205,0),1)&amp;" · "&amp;INDEX(Tareas!$D$6:$D$205,MATCH(A$5&amp;"_"&amp;197,Tareas!$N$6:$N$205,0),1)&amp;CHAR(10)&amp;INDEX(Tareas!$C$6:$C$205,MATCH(A$5&amp;"_"&amp;197,Tareas!$N$6:$N$205,0),1)&amp;CHAR(10)&amp;INDEX(Tareas!$E$6:$E$205,MATCH(A$5&amp;"_"&amp;197,Tareas!$N$6:$N$205,0),1)&amp;CHAR(10)&amp;INDEX(Tareas!$O$6:$O$205,MATCH(A$5&amp;"_"&amp;197,Tareas!$N$6:$N$205,0),1))</x:f>
      </x:c>
      <x:c r="B202" s="21" t="str">
        <x:f>IF(197&gt;B$4,"",INDEX(Tareas!$A$6:$A$205,MATCH(B$5&amp;"_"&amp;197,Tareas!$N$6:$N$205,0),1)&amp;" · "&amp;INDEX(Tareas!$D$6:$D$205,MATCH(B$5&amp;"_"&amp;197,Tareas!$N$6:$N$205,0),1)&amp;CHAR(10)&amp;INDEX(Tareas!$C$6:$C$205,MATCH(B$5&amp;"_"&amp;197,Tareas!$N$6:$N$205,0),1)&amp;CHAR(10)&amp;INDEX(Tareas!$E$6:$E$205,MATCH(B$5&amp;"_"&amp;197,Tareas!$N$6:$N$205,0),1)&amp;CHAR(10)&amp;INDEX(Tareas!$O$6:$O$205,MATCH(B$5&amp;"_"&amp;197,Tareas!$N$6:$N$205,0),1))</x:f>
      </x:c>
      <x:c r="C202" s="21" t="str">
        <x:f>IF(197&gt;C$4,"",INDEX(Tareas!$A$6:$A$205,MATCH(C$5&amp;"_"&amp;197,Tareas!$N$6:$N$205,0),1)&amp;" · "&amp;INDEX(Tareas!$D$6:$D$205,MATCH(C$5&amp;"_"&amp;197,Tareas!$N$6:$N$205,0),1)&amp;CHAR(10)&amp;INDEX(Tareas!$C$6:$C$205,MATCH(C$5&amp;"_"&amp;197,Tareas!$N$6:$N$205,0),1)&amp;CHAR(10)&amp;INDEX(Tareas!$E$6:$E$205,MATCH(C$5&amp;"_"&amp;197,Tareas!$N$6:$N$205,0),1)&amp;CHAR(10)&amp;INDEX(Tareas!$O$6:$O$205,MATCH(C$5&amp;"_"&amp;197,Tareas!$N$6:$N$205,0),1))</x:f>
      </x:c>
      <x:c r="D202" s="21" t="str">
        <x:f>IF(197&gt;D$4,"",INDEX(Tareas!$A$6:$A$205,MATCH(D$5&amp;"_"&amp;197,Tareas!$N$6:$N$205,0),1)&amp;" · "&amp;INDEX(Tareas!$D$6:$D$205,MATCH(D$5&amp;"_"&amp;197,Tareas!$N$6:$N$205,0),1)&amp;CHAR(10)&amp;INDEX(Tareas!$C$6:$C$205,MATCH(D$5&amp;"_"&amp;197,Tareas!$N$6:$N$205,0),1)&amp;CHAR(10)&amp;INDEX(Tareas!$E$6:$E$205,MATCH(D$5&amp;"_"&amp;197,Tareas!$N$6:$N$205,0),1)&amp;CHAR(10)&amp;INDEX(Tareas!$O$6:$O$205,MATCH(D$5&amp;"_"&amp;197,Tareas!$N$6:$N$205,0),1))</x:f>
      </x:c>
      <x:c r="E202" s="21" t="str">
        <x:f>IF(197&gt;E$4,"",INDEX(Tareas!$A$6:$A$205,MATCH(E$5&amp;"_"&amp;197,Tareas!$N$6:$N$205,0),1)&amp;" · "&amp;INDEX(Tareas!$D$6:$D$205,MATCH(E$5&amp;"_"&amp;197,Tareas!$N$6:$N$205,0),1)&amp;CHAR(10)&amp;INDEX(Tareas!$C$6:$C$205,MATCH(E$5&amp;"_"&amp;197,Tareas!$N$6:$N$205,0),1)&amp;CHAR(10)&amp;INDEX(Tareas!$E$6:$E$205,MATCH(E$5&amp;"_"&amp;197,Tareas!$N$6:$N$205,0),1)&amp;CHAR(10)&amp;INDEX(Tareas!$O$6:$O$205,MATCH(E$5&amp;"_"&amp;197,Tareas!$N$6:$N$205,0),1))</x:f>
      </x:c>
      <x:c r="F202" s="21" t="str">
        <x:f>IF(197&gt;F$4,"",INDEX(Tareas!$A$6:$A$205,MATCH(F$5&amp;"_"&amp;197,Tareas!$N$6:$N$205,0),1)&amp;" · "&amp;INDEX(Tareas!$D$6:$D$205,MATCH(F$5&amp;"_"&amp;197,Tareas!$N$6:$N$205,0),1)&amp;CHAR(10)&amp;INDEX(Tareas!$C$6:$C$205,MATCH(F$5&amp;"_"&amp;197,Tareas!$N$6:$N$205,0),1)&amp;CHAR(10)&amp;INDEX(Tareas!$E$6:$E$205,MATCH(F$5&amp;"_"&amp;197,Tareas!$N$6:$N$205,0),1)&amp;CHAR(10)&amp;INDEX(Tareas!$O$6:$O$205,MATCH(F$5&amp;"_"&amp;197,Tareas!$N$6:$N$205,0),1))</x:f>
      </x:c>
    </x:row>
    <x:row r="203" ht="76" customHeight="1">
      <x:c r="A203" s="21" t="str">
        <x:f>IF(198&gt;A$4,"",INDEX(Tareas!$A$6:$A$205,MATCH(A$5&amp;"_"&amp;198,Tareas!$N$6:$N$205,0),1)&amp;" · "&amp;INDEX(Tareas!$D$6:$D$205,MATCH(A$5&amp;"_"&amp;198,Tareas!$N$6:$N$205,0),1)&amp;CHAR(10)&amp;INDEX(Tareas!$C$6:$C$205,MATCH(A$5&amp;"_"&amp;198,Tareas!$N$6:$N$205,0),1)&amp;CHAR(10)&amp;INDEX(Tareas!$E$6:$E$205,MATCH(A$5&amp;"_"&amp;198,Tareas!$N$6:$N$205,0),1)&amp;CHAR(10)&amp;INDEX(Tareas!$O$6:$O$205,MATCH(A$5&amp;"_"&amp;198,Tareas!$N$6:$N$205,0),1))</x:f>
      </x:c>
      <x:c r="B203" s="21" t="str">
        <x:f>IF(198&gt;B$4,"",INDEX(Tareas!$A$6:$A$205,MATCH(B$5&amp;"_"&amp;198,Tareas!$N$6:$N$205,0),1)&amp;" · "&amp;INDEX(Tareas!$D$6:$D$205,MATCH(B$5&amp;"_"&amp;198,Tareas!$N$6:$N$205,0),1)&amp;CHAR(10)&amp;INDEX(Tareas!$C$6:$C$205,MATCH(B$5&amp;"_"&amp;198,Tareas!$N$6:$N$205,0),1)&amp;CHAR(10)&amp;INDEX(Tareas!$E$6:$E$205,MATCH(B$5&amp;"_"&amp;198,Tareas!$N$6:$N$205,0),1)&amp;CHAR(10)&amp;INDEX(Tareas!$O$6:$O$205,MATCH(B$5&amp;"_"&amp;198,Tareas!$N$6:$N$205,0),1))</x:f>
      </x:c>
      <x:c r="C203" s="21" t="str">
        <x:f>IF(198&gt;C$4,"",INDEX(Tareas!$A$6:$A$205,MATCH(C$5&amp;"_"&amp;198,Tareas!$N$6:$N$205,0),1)&amp;" · "&amp;INDEX(Tareas!$D$6:$D$205,MATCH(C$5&amp;"_"&amp;198,Tareas!$N$6:$N$205,0),1)&amp;CHAR(10)&amp;INDEX(Tareas!$C$6:$C$205,MATCH(C$5&amp;"_"&amp;198,Tareas!$N$6:$N$205,0),1)&amp;CHAR(10)&amp;INDEX(Tareas!$E$6:$E$205,MATCH(C$5&amp;"_"&amp;198,Tareas!$N$6:$N$205,0),1)&amp;CHAR(10)&amp;INDEX(Tareas!$O$6:$O$205,MATCH(C$5&amp;"_"&amp;198,Tareas!$N$6:$N$205,0),1))</x:f>
      </x:c>
      <x:c r="D203" s="21" t="str">
        <x:f>IF(198&gt;D$4,"",INDEX(Tareas!$A$6:$A$205,MATCH(D$5&amp;"_"&amp;198,Tareas!$N$6:$N$205,0),1)&amp;" · "&amp;INDEX(Tareas!$D$6:$D$205,MATCH(D$5&amp;"_"&amp;198,Tareas!$N$6:$N$205,0),1)&amp;CHAR(10)&amp;INDEX(Tareas!$C$6:$C$205,MATCH(D$5&amp;"_"&amp;198,Tareas!$N$6:$N$205,0),1)&amp;CHAR(10)&amp;INDEX(Tareas!$E$6:$E$205,MATCH(D$5&amp;"_"&amp;198,Tareas!$N$6:$N$205,0),1)&amp;CHAR(10)&amp;INDEX(Tareas!$O$6:$O$205,MATCH(D$5&amp;"_"&amp;198,Tareas!$N$6:$N$205,0),1))</x:f>
      </x:c>
      <x:c r="E203" s="21" t="str">
        <x:f>IF(198&gt;E$4,"",INDEX(Tareas!$A$6:$A$205,MATCH(E$5&amp;"_"&amp;198,Tareas!$N$6:$N$205,0),1)&amp;" · "&amp;INDEX(Tareas!$D$6:$D$205,MATCH(E$5&amp;"_"&amp;198,Tareas!$N$6:$N$205,0),1)&amp;CHAR(10)&amp;INDEX(Tareas!$C$6:$C$205,MATCH(E$5&amp;"_"&amp;198,Tareas!$N$6:$N$205,0),1)&amp;CHAR(10)&amp;INDEX(Tareas!$E$6:$E$205,MATCH(E$5&amp;"_"&amp;198,Tareas!$N$6:$N$205,0),1)&amp;CHAR(10)&amp;INDEX(Tareas!$O$6:$O$205,MATCH(E$5&amp;"_"&amp;198,Tareas!$N$6:$N$205,0),1))</x:f>
      </x:c>
      <x:c r="F203" s="21" t="str">
        <x:f>IF(198&gt;F$4,"",INDEX(Tareas!$A$6:$A$205,MATCH(F$5&amp;"_"&amp;198,Tareas!$N$6:$N$205,0),1)&amp;" · "&amp;INDEX(Tareas!$D$6:$D$205,MATCH(F$5&amp;"_"&amp;198,Tareas!$N$6:$N$205,0),1)&amp;CHAR(10)&amp;INDEX(Tareas!$C$6:$C$205,MATCH(F$5&amp;"_"&amp;198,Tareas!$N$6:$N$205,0),1)&amp;CHAR(10)&amp;INDEX(Tareas!$E$6:$E$205,MATCH(F$5&amp;"_"&amp;198,Tareas!$N$6:$N$205,0),1)&amp;CHAR(10)&amp;INDEX(Tareas!$O$6:$O$205,MATCH(F$5&amp;"_"&amp;198,Tareas!$N$6:$N$205,0),1))</x:f>
      </x:c>
    </x:row>
    <x:row r="204" ht="76" customHeight="1">
      <x:c r="A204" s="21" t="str">
        <x:f>IF(199&gt;A$4,"",INDEX(Tareas!$A$6:$A$205,MATCH(A$5&amp;"_"&amp;199,Tareas!$N$6:$N$205,0),1)&amp;" · "&amp;INDEX(Tareas!$D$6:$D$205,MATCH(A$5&amp;"_"&amp;199,Tareas!$N$6:$N$205,0),1)&amp;CHAR(10)&amp;INDEX(Tareas!$C$6:$C$205,MATCH(A$5&amp;"_"&amp;199,Tareas!$N$6:$N$205,0),1)&amp;CHAR(10)&amp;INDEX(Tareas!$E$6:$E$205,MATCH(A$5&amp;"_"&amp;199,Tareas!$N$6:$N$205,0),1)&amp;CHAR(10)&amp;INDEX(Tareas!$O$6:$O$205,MATCH(A$5&amp;"_"&amp;199,Tareas!$N$6:$N$205,0),1))</x:f>
      </x:c>
      <x:c r="B204" s="21" t="str">
        <x:f>IF(199&gt;B$4,"",INDEX(Tareas!$A$6:$A$205,MATCH(B$5&amp;"_"&amp;199,Tareas!$N$6:$N$205,0),1)&amp;" · "&amp;INDEX(Tareas!$D$6:$D$205,MATCH(B$5&amp;"_"&amp;199,Tareas!$N$6:$N$205,0),1)&amp;CHAR(10)&amp;INDEX(Tareas!$C$6:$C$205,MATCH(B$5&amp;"_"&amp;199,Tareas!$N$6:$N$205,0),1)&amp;CHAR(10)&amp;INDEX(Tareas!$E$6:$E$205,MATCH(B$5&amp;"_"&amp;199,Tareas!$N$6:$N$205,0),1)&amp;CHAR(10)&amp;INDEX(Tareas!$O$6:$O$205,MATCH(B$5&amp;"_"&amp;199,Tareas!$N$6:$N$205,0),1))</x:f>
      </x:c>
      <x:c r="C204" s="21" t="str">
        <x:f>IF(199&gt;C$4,"",INDEX(Tareas!$A$6:$A$205,MATCH(C$5&amp;"_"&amp;199,Tareas!$N$6:$N$205,0),1)&amp;" · "&amp;INDEX(Tareas!$D$6:$D$205,MATCH(C$5&amp;"_"&amp;199,Tareas!$N$6:$N$205,0),1)&amp;CHAR(10)&amp;INDEX(Tareas!$C$6:$C$205,MATCH(C$5&amp;"_"&amp;199,Tareas!$N$6:$N$205,0),1)&amp;CHAR(10)&amp;INDEX(Tareas!$E$6:$E$205,MATCH(C$5&amp;"_"&amp;199,Tareas!$N$6:$N$205,0),1)&amp;CHAR(10)&amp;INDEX(Tareas!$O$6:$O$205,MATCH(C$5&amp;"_"&amp;199,Tareas!$N$6:$N$205,0),1))</x:f>
      </x:c>
      <x:c r="D204" s="21" t="str">
        <x:f>IF(199&gt;D$4,"",INDEX(Tareas!$A$6:$A$205,MATCH(D$5&amp;"_"&amp;199,Tareas!$N$6:$N$205,0),1)&amp;" · "&amp;INDEX(Tareas!$D$6:$D$205,MATCH(D$5&amp;"_"&amp;199,Tareas!$N$6:$N$205,0),1)&amp;CHAR(10)&amp;INDEX(Tareas!$C$6:$C$205,MATCH(D$5&amp;"_"&amp;199,Tareas!$N$6:$N$205,0),1)&amp;CHAR(10)&amp;INDEX(Tareas!$E$6:$E$205,MATCH(D$5&amp;"_"&amp;199,Tareas!$N$6:$N$205,0),1)&amp;CHAR(10)&amp;INDEX(Tareas!$O$6:$O$205,MATCH(D$5&amp;"_"&amp;199,Tareas!$N$6:$N$205,0),1))</x:f>
      </x:c>
      <x:c r="E204" s="21" t="str">
        <x:f>IF(199&gt;E$4,"",INDEX(Tareas!$A$6:$A$205,MATCH(E$5&amp;"_"&amp;199,Tareas!$N$6:$N$205,0),1)&amp;" · "&amp;INDEX(Tareas!$D$6:$D$205,MATCH(E$5&amp;"_"&amp;199,Tareas!$N$6:$N$205,0),1)&amp;CHAR(10)&amp;INDEX(Tareas!$C$6:$C$205,MATCH(E$5&amp;"_"&amp;199,Tareas!$N$6:$N$205,0),1)&amp;CHAR(10)&amp;INDEX(Tareas!$E$6:$E$205,MATCH(E$5&amp;"_"&amp;199,Tareas!$N$6:$N$205,0),1)&amp;CHAR(10)&amp;INDEX(Tareas!$O$6:$O$205,MATCH(E$5&amp;"_"&amp;199,Tareas!$N$6:$N$205,0),1))</x:f>
      </x:c>
      <x:c r="F204" s="21" t="str">
        <x:f>IF(199&gt;F$4,"",INDEX(Tareas!$A$6:$A$205,MATCH(F$5&amp;"_"&amp;199,Tareas!$N$6:$N$205,0),1)&amp;" · "&amp;INDEX(Tareas!$D$6:$D$205,MATCH(F$5&amp;"_"&amp;199,Tareas!$N$6:$N$205,0),1)&amp;CHAR(10)&amp;INDEX(Tareas!$C$6:$C$205,MATCH(F$5&amp;"_"&amp;199,Tareas!$N$6:$N$205,0),1)&amp;CHAR(10)&amp;INDEX(Tareas!$E$6:$E$205,MATCH(F$5&amp;"_"&amp;199,Tareas!$N$6:$N$205,0),1)&amp;CHAR(10)&amp;INDEX(Tareas!$O$6:$O$205,MATCH(F$5&amp;"_"&amp;199,Tareas!$N$6:$N$205,0),1))</x:f>
      </x:c>
    </x:row>
    <x:row r="205" ht="76" customHeight="1">
      <x:c r="A205" s="21" t="str">
        <x:f>IF(200&gt;A$4,"",INDEX(Tareas!$A$6:$A$205,MATCH(A$5&amp;"_"&amp;200,Tareas!$N$6:$N$205,0),1)&amp;" · "&amp;INDEX(Tareas!$D$6:$D$205,MATCH(A$5&amp;"_"&amp;200,Tareas!$N$6:$N$205,0),1)&amp;CHAR(10)&amp;INDEX(Tareas!$C$6:$C$205,MATCH(A$5&amp;"_"&amp;200,Tareas!$N$6:$N$205,0),1)&amp;CHAR(10)&amp;INDEX(Tareas!$E$6:$E$205,MATCH(A$5&amp;"_"&amp;200,Tareas!$N$6:$N$205,0),1)&amp;CHAR(10)&amp;INDEX(Tareas!$O$6:$O$205,MATCH(A$5&amp;"_"&amp;200,Tareas!$N$6:$N$205,0),1))</x:f>
      </x:c>
      <x:c r="B205" s="21" t="str">
        <x:f>IF(200&gt;B$4,"",INDEX(Tareas!$A$6:$A$205,MATCH(B$5&amp;"_"&amp;200,Tareas!$N$6:$N$205,0),1)&amp;" · "&amp;INDEX(Tareas!$D$6:$D$205,MATCH(B$5&amp;"_"&amp;200,Tareas!$N$6:$N$205,0),1)&amp;CHAR(10)&amp;INDEX(Tareas!$C$6:$C$205,MATCH(B$5&amp;"_"&amp;200,Tareas!$N$6:$N$205,0),1)&amp;CHAR(10)&amp;INDEX(Tareas!$E$6:$E$205,MATCH(B$5&amp;"_"&amp;200,Tareas!$N$6:$N$205,0),1)&amp;CHAR(10)&amp;INDEX(Tareas!$O$6:$O$205,MATCH(B$5&amp;"_"&amp;200,Tareas!$N$6:$N$205,0),1))</x:f>
      </x:c>
      <x:c r="C205" s="21" t="str">
        <x:f>IF(200&gt;C$4,"",INDEX(Tareas!$A$6:$A$205,MATCH(C$5&amp;"_"&amp;200,Tareas!$N$6:$N$205,0),1)&amp;" · "&amp;INDEX(Tareas!$D$6:$D$205,MATCH(C$5&amp;"_"&amp;200,Tareas!$N$6:$N$205,0),1)&amp;CHAR(10)&amp;INDEX(Tareas!$C$6:$C$205,MATCH(C$5&amp;"_"&amp;200,Tareas!$N$6:$N$205,0),1)&amp;CHAR(10)&amp;INDEX(Tareas!$E$6:$E$205,MATCH(C$5&amp;"_"&amp;200,Tareas!$N$6:$N$205,0),1)&amp;CHAR(10)&amp;INDEX(Tareas!$O$6:$O$205,MATCH(C$5&amp;"_"&amp;200,Tareas!$N$6:$N$205,0),1))</x:f>
      </x:c>
      <x:c r="D205" s="21" t="str">
        <x:f>IF(200&gt;D$4,"",INDEX(Tareas!$A$6:$A$205,MATCH(D$5&amp;"_"&amp;200,Tareas!$N$6:$N$205,0),1)&amp;" · "&amp;INDEX(Tareas!$D$6:$D$205,MATCH(D$5&amp;"_"&amp;200,Tareas!$N$6:$N$205,0),1)&amp;CHAR(10)&amp;INDEX(Tareas!$C$6:$C$205,MATCH(D$5&amp;"_"&amp;200,Tareas!$N$6:$N$205,0),1)&amp;CHAR(10)&amp;INDEX(Tareas!$E$6:$E$205,MATCH(D$5&amp;"_"&amp;200,Tareas!$N$6:$N$205,0),1)&amp;CHAR(10)&amp;INDEX(Tareas!$O$6:$O$205,MATCH(D$5&amp;"_"&amp;200,Tareas!$N$6:$N$205,0),1))</x:f>
      </x:c>
      <x:c r="E205" s="21" t="str">
        <x:f>IF(200&gt;E$4,"",INDEX(Tareas!$A$6:$A$205,MATCH(E$5&amp;"_"&amp;200,Tareas!$N$6:$N$205,0),1)&amp;" · "&amp;INDEX(Tareas!$D$6:$D$205,MATCH(E$5&amp;"_"&amp;200,Tareas!$N$6:$N$205,0),1)&amp;CHAR(10)&amp;INDEX(Tareas!$C$6:$C$205,MATCH(E$5&amp;"_"&amp;200,Tareas!$N$6:$N$205,0),1)&amp;CHAR(10)&amp;INDEX(Tareas!$E$6:$E$205,MATCH(E$5&amp;"_"&amp;200,Tareas!$N$6:$N$205,0),1)&amp;CHAR(10)&amp;INDEX(Tareas!$O$6:$O$205,MATCH(E$5&amp;"_"&amp;200,Tareas!$N$6:$N$205,0),1))</x:f>
      </x:c>
      <x:c r="F205" s="21" t="str">
        <x:f>IF(200&gt;F$4,"",INDEX(Tareas!$A$6:$A$205,MATCH(F$5&amp;"_"&amp;200,Tareas!$N$6:$N$205,0),1)&amp;" · "&amp;INDEX(Tareas!$D$6:$D$205,MATCH(F$5&amp;"_"&amp;200,Tareas!$N$6:$N$205,0),1)&amp;CHAR(10)&amp;INDEX(Tareas!$C$6:$C$205,MATCH(F$5&amp;"_"&amp;200,Tareas!$N$6:$N$205,0),1)&amp;CHAR(10)&amp;INDEX(Tareas!$E$6:$E$205,MATCH(F$5&amp;"_"&amp;200,Tareas!$N$6:$N$205,0),1)&amp;CHAR(10)&amp;INDEX(Tareas!$O$6:$O$205,MATCH(F$5&amp;"_"&amp;200,Tareas!$N$6:$N$205,0),1))</x:f>
      </x:c>
    </x:row>
  </x:sheetData>
  <x:conditionalFormatting sqref="A6:A205">
    <x:cfRule type="expression" dxfId="4" priority="1">
      <x:formula>A6&lt;&gt;""</x:formula>
    </x:cfRule>
  </x:conditionalFormatting>
  <x:conditionalFormatting sqref="B6:B205">
    <x:cfRule type="expression" dxfId="5" priority="2">
      <x:formula>B6&lt;&gt;""</x:formula>
    </x:cfRule>
  </x:conditionalFormatting>
  <x:conditionalFormatting sqref="C6:C205">
    <x:cfRule type="expression" dxfId="6" priority="3">
      <x:formula>C6&lt;&gt;""</x:formula>
    </x:cfRule>
  </x:conditionalFormatting>
  <x:conditionalFormatting sqref="D6:D205">
    <x:cfRule type="expression" dxfId="7" priority="4">
      <x:formula>D6&lt;&gt;""</x:formula>
    </x:cfRule>
  </x:conditionalFormatting>
  <x:conditionalFormatting sqref="E6:E205">
    <x:cfRule type="expression" dxfId="8" priority="5">
      <x:formula>E6&lt;&gt;""</x:formula>
    </x:cfRule>
  </x:conditionalFormatting>
  <x:conditionalFormatting sqref="F6:F205">
    <x:cfRule type="expression" dxfId="9" priority="6">
      <x:formula>F6&lt;&gt;""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0" hidden="0" customWidth="1"/>
    <x:col min="2" max="2" width="11" hidden="0" customWidth="1"/>
    <x:col min="3" max="3" width="44" hidden="0" customWidth="1"/>
    <x:col min="4" max="4" width="12" hidden="0" customWidth="1"/>
    <x:col min="5" max="5" width="21" hidden="0" customWidth="1"/>
    <x:col min="6" max="6" width="18" hidden="0" customWidth="1"/>
    <x:col min="7" max="7" width="23" hidden="0" customWidth="1"/>
    <x:col min="8" max="8" width="13" hidden="0" customWidth="1"/>
    <x:col min="9" max="9" width="64" hidden="0" customWidth="1"/>
    <x:col min="10" max="10" width="35" hidden="0" customWidth="1"/>
    <x:col min="11" max="11" width="18" hidden="0" customWidth="1"/>
    <x:col min="12" max="12" width="18" hidden="0" customWidth="1"/>
    <x:col min="13" max="13" width="18" hidden="0" customWidth="1"/>
    <x:col min="14" max="14" width="23" hidden="0" customWidth="1"/>
    <x:col min="15" max="15" width="31" hidden="0" customWidth="1"/>
    <x:col min="16" max="16" width="4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</x:row>
    <x:row r="2" ht="27" customHeight="1">
      <x:c r="A2" s="2" t="str">
        <x:v>Tareas de integración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</x:row>
    <x:row r="3">
      <x:c r="A3" s="3" t="str">
        <x:v>Editar estado, responsable y evidencia. Filas 6 a 205 disponibles; Hecho requiere evidencia, fecha y revisión aprobada.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  <x:c r="P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</x:row>
    <x:row r="5" ht="32" customHeight="1">
      <x:c r="A5" s="8" t="str">
        <x:v>ID</x:v>
      </x:c>
      <x:c r="B5" s="8" t="str">
        <x:v>Historia</x:v>
      </x:c>
      <x:c r="C5" s="8" t="str">
        <x:v>Tarea</x:v>
      </x:c>
      <x:c r="D5" s="8" t="str">
        <x:v>Sprint</x:v>
      </x:c>
      <x:c r="E5" s="8" t="str">
        <x:v>Responsable</x:v>
      </x:c>
      <x:c r="F5" s="8" t="str">
        <x:v>Estado</x:v>
      </x:c>
      <x:c r="G5" s="8" t="str">
        <x:v>Dependencias</x:v>
      </x:c>
      <x:c r="H5" s="8" t="str">
        <x:v>Horas estimadas</x:v>
      </x:c>
      <x:c r="I5" s="8" t="str">
        <x:v>Criterio de salida</x:v>
      </x:c>
      <x:c r="J5" s="8" t="str">
        <x:v>Evidencia o commit</x:v>
      </x:c>
      <x:c r="K5" s="8" t="str">
        <x:v>Fecha de cierre</x:v>
      </x:c>
      <x:c r="L5" s="8" t="str">
        <x:v>Revisión</x:v>
      </x:c>
      <x:c r="M5" s="8" t="str">
        <x:v>Fecha objetivo</x:v>
      </x:c>
      <x:c r="N5" s="8" t="str">
        <x:v>Clave de tablero</x:v>
      </x:c>
      <x:c r="O5" s="8" t="str">
        <x:v>Control de cierre</x:v>
      </x:c>
      <x:c r="P5" s="8" t="str">
        <x:v>Requisitos</x:v>
      </x:c>
    </x:row>
    <x:row r="6" ht="44" customHeight="1">
      <x:c r="A6" s="11" t="str">
        <x:v>T-01</x:v>
      </x:c>
      <x:c r="B6" s="11" t="str">
        <x:v>HU-01</x:v>
      </x:c>
      <x:c r="C6" s="11" t="str">
        <x:v>Validar alcance y preparar datos demo</x:v>
      </x:c>
      <x:c r="D6" s="11" t="str">
        <x:v>S1</x:v>
      </x:c>
      <x:c r="E6" s="12" t="str">
        <x:v>Por asignar</x:v>
      </x:c>
      <x:c r="F6" s="12" t="str">
        <x:v>Por hacer</x:v>
      </x:c>
      <x:c r="G6" s="11" t="str">
        <x:v>Ninguna</x:v>
      </x:c>
      <x:c r="H6" s="16"/>
      <x:c r="I6" s="11" t="str">
        <x:v>Decisiones D-01 a D-04 revisadas; cuentas separadas y servicio sin firma disponibles.</x:v>
      </x:c>
      <x:c r="J6" s="12" t="str"/>
      <x:c r="K6" s="14"/>
      <x:c r="L6" s="12" t="str">
        <x:v>Pendiente</x:v>
      </x:c>
      <x:c r="M6" s="14"/>
      <x:c r="N6" s="11" t="str">
        <x:f>IF(A6="","",F6&amp;"_"&amp;COUNTIFS($F$6:F6,F6,$A$6:A6,"&lt;&gt;"))</x:f>
        <x:v>Por hacer_1</x:v>
      </x:c>
      <x:c r="O6" s="11" t="str">
        <x:f>IF(A6="","",IF(F6&lt;&gt;"Hecho","Pendiente",IF(AND(J6&lt;&gt;"",ISNUMBER(K6),L6="Aprobada"),"Verificado","Falta evidencia o revisión")))</x:f>
        <x:v>Pendiente</x:v>
      </x:c>
      <x:c r="P6" s="11" t="str">
        <x:v>RF-04; RNF-08</x:v>
      </x:c>
    </x:row>
    <x:row r="7" ht="44" customHeight="1">
      <x:c r="A7" s="10" t="str">
        <x:v>T-02</x:v>
      </x:c>
      <x:c r="B7" s="10" t="str">
        <x:v>HU-01</x:v>
      </x:c>
      <x:c r="C7" s="10" t="str">
        <x:v>Configurar HttpClient y URL de API</x:v>
      </x:c>
      <x:c r="D7" s="10" t="str">
        <x:v>S1</x:v>
      </x:c>
      <x:c r="E7" s="12" t="str">
        <x:v>Por asignar</x:v>
      </x:c>
      <x:c r="F7" s="12" t="str">
        <x:v>Por hacer</x:v>
      </x:c>
      <x:c r="G7" s="10" t="str">
        <x:v>T-01</x:v>
      </x:c>
      <x:c r="H7" s="16"/>
      <x:c r="I7" s="10" t="str">
        <x:v>Angular inicia sin error de inyección; /health y login accesibles con CORS autorizado.</x:v>
      </x:c>
      <x:c r="J7" s="12" t="str"/>
      <x:c r="K7" s="14"/>
      <x:c r="L7" s="12" t="str">
        <x:v>Pendiente</x:v>
      </x:c>
      <x:c r="M7" s="14"/>
      <x:c r="N7" s="10" t="str">
        <x:f>IF(A7="","",F7&amp;"_"&amp;COUNTIFS($F$6:F7,F7,$A$6:A7,"&lt;&gt;"))</x:f>
        <x:v>Por hacer_2</x:v>
      </x:c>
      <x:c r="O7" s="10" t="str">
        <x:f>IF(A7="","",IF(F7&lt;&gt;"Hecho","Pendiente",IF(AND(J7&lt;&gt;"",ISNUMBER(K7),L7="Aprobada"),"Verificado","Falta evidencia o revisión")))</x:f>
        <x:v>Pendiente</x:v>
      </x:c>
      <x:c r="P7" s="10" t="str">
        <x:v>RF-02; RNF-08</x:v>
      </x:c>
    </x:row>
    <x:row r="8" ht="44" customHeight="1">
      <x:c r="A8" s="11" t="str">
        <x:v>T-03</x:v>
      </x:c>
      <x:c r="B8" s="11" t="str">
        <x:v>HU-01</x:v>
      </x:c>
      <x:c r="C8" s="11" t="str">
        <x:v>Completar login guards y cierre de sesión</x:v>
      </x:c>
      <x:c r="D8" s="11" t="str">
        <x:v>S1</x:v>
      </x:c>
      <x:c r="E8" s="12" t="str">
        <x:v>Por asignar</x:v>
      </x:c>
      <x:c r="F8" s="12" t="str">
        <x:v>Por hacer</x:v>
      </x:c>
      <x:c r="G8" s="11" t="str">
        <x:v>T-02</x:v>
      </x:c>
      <x:c r="H8" s="16"/>
      <x:c r="I8" s="11" t="str">
        <x:v>Login por cuatro roles; rutas privadas protegidas; logout revoca token en API.</x:v>
      </x:c>
      <x:c r="J8" s="12" t="str"/>
      <x:c r="K8" s="14"/>
      <x:c r="L8" s="12" t="str">
        <x:v>Pendiente</x:v>
      </x:c>
      <x:c r="M8" s="14"/>
      <x:c r="N8" s="11" t="str">
        <x:f>IF(A8="","",F8&amp;"_"&amp;COUNTIFS($F$6:F8,F8,$A$6:A8,"&lt;&gt;"))</x:f>
        <x:v>Por hacer_3</x:v>
      </x:c>
      <x:c r="O8" s="11" t="str">
        <x:f>IF(A8="","",IF(F8&lt;&gt;"Hecho","Pendiente",IF(AND(J8&lt;&gt;"",ISNUMBER(K8),L8="Aprobada"),"Verificado","Falta evidencia o revisión")))</x:f>
        <x:v>Pendiente</x:v>
      </x:c>
      <x:c r="P8" s="11" t="str">
        <x:v>RF-02; RF-03; RNF-04; RNF-01</x:v>
      </x:c>
    </x:row>
    <x:row r="9" ht="44" customHeight="1">
      <x:c r="A9" s="10" t="str">
        <x:v>T-04</x:v>
      </x:c>
      <x:c r="B9" s="10" t="str">
        <x:v>HU-02</x:v>
      </x:c>
      <x:c r="C9" s="10" t="str">
        <x:v>Conectar catálogo y formulario de trámite</x:v>
      </x:c>
      <x:c r="D9" s="10" t="str">
        <x:v>S1</x:v>
      </x:c>
      <x:c r="E9" s="12" t="str">
        <x:v>Por asignar</x:v>
      </x:c>
      <x:c r="F9" s="12" t="str">
        <x:v>Por hacer</x:v>
      </x:c>
      <x:c r="G9" s="10" t="str">
        <x:v>T-03</x:v>
      </x:c>
      <x:c r="H9" s="16"/>
      <x:c r="I9" s="10" t="str">
        <x:v>Cliente crea trámite desde Angular; administrador crea, modifica y desactiva servicios; precio de solicitudes anteriores se conserva.</x:v>
      </x:c>
      <x:c r="J9" s="12" t="str"/>
      <x:c r="K9" s="14"/>
      <x:c r="L9" s="12" t="str">
        <x:v>Pendiente</x:v>
      </x:c>
      <x:c r="M9" s="14"/>
      <x:c r="N9" s="10" t="str">
        <x:f>IF(A9="","",F9&amp;"_"&amp;COUNTIFS($F$6:F9,F9,$A$6:A9,"&lt;&gt;"))</x:f>
        <x:v>Por hacer_4</x:v>
      </x:c>
      <x:c r="O9" s="10" t="str">
        <x:f>IF(A9="","",IF(F9&lt;&gt;"Hecho","Pendiente",IF(AND(J9&lt;&gt;"",ISNUMBER(K9),L9="Aprobada"),"Verificado","Falta evidencia o revisión")))</x:f>
        <x:v>Pendiente</x:v>
      </x:c>
      <x:c r="P9" s="10" t="str">
        <x:v>RF-04; RF-05</x:v>
      </x:c>
    </x:row>
    <x:row r="10" ht="44" customHeight="1">
      <x:c r="A10" s="11" t="str">
        <x:v>T-05</x:v>
      </x:c>
      <x:c r="B10" s="11" t="str">
        <x:v>HU-02</x:v>
      </x:c>
      <x:c r="C10" s="11" t="str">
        <x:v>Completar listado detalle y paginación</x:v>
      </x:c>
      <x:c r="D10" s="11" t="str">
        <x:v>S1</x:v>
      </x:c>
      <x:c r="E10" s="12" t="str">
        <x:v>Por asignar</x:v>
      </x:c>
      <x:c r="F10" s="12" t="str">
        <x:v>Por hacer</x:v>
      </x:c>
      <x:c r="G10" s="11" t="str">
        <x:v>T-04</x:v>
      </x:c>
      <x:c r="H10" s="16"/>
      <x:c r="I10" s="11" t="str">
        <x:v>Lista y detalle muestran persistencia; segundo cliente no accede al recurso.</x:v>
      </x:c>
      <x:c r="J10" s="12" t="str"/>
      <x:c r="K10" s="14"/>
      <x:c r="L10" s="12" t="str">
        <x:v>Pendiente</x:v>
      </x:c>
      <x:c r="M10" s="14"/>
      <x:c r="N10" s="11" t="str">
        <x:f>IF(A10="","",F10&amp;"_"&amp;COUNTIFS($F$6:F10,F10,$A$6:A10,"&lt;&gt;"))</x:f>
        <x:v>Por hacer_5</x:v>
      </x:c>
      <x:c r="O10" s="11" t="str">
        <x:f>IF(A10="","",IF(F10&lt;&gt;"Hecho","Pendiente",IF(AND(J10&lt;&gt;"",ISNUMBER(K10),L10="Aprobada"),"Verificado","Falta evidencia o revisión")))</x:f>
        <x:v>Pendiente</x:v>
      </x:c>
      <x:c r="P10" s="11" t="str">
        <x:v>RF-06; RNF-04</x:v>
      </x:c>
    </x:row>
    <x:row r="11" ht="44" customHeight="1">
      <x:c r="A11" s="10" t="str">
        <x:v>T-06</x:v>
      </x:c>
      <x:c r="B11" s="10" t="str">
        <x:v>HU-03</x:v>
      </x:c>
      <x:c r="C11" s="10" t="str">
        <x:v>Agregar formulario de transferencia</x:v>
      </x:c>
      <x:c r="D11" s="10" t="str">
        <x:v>S1</x:v>
      </x:c>
      <x:c r="E11" s="12" t="str">
        <x:v>Por asignar</x:v>
      </x:c>
      <x:c r="F11" s="12" t="str">
        <x:v>Por hacer</x:v>
      </x:c>
      <x:c r="G11" s="10" t="str">
        <x:v>T-05</x:v>
      </x:c>
      <x:c r="H11" s="16"/>
      <x:c r="I11" s="10" t="str">
        <x:v>Referencia única guardada como pendiente; error 409 visible sin duplicar.</x:v>
      </x:c>
      <x:c r="J11" s="12" t="str"/>
      <x:c r="K11" s="14"/>
      <x:c r="L11" s="12" t="str">
        <x:v>Pendiente</x:v>
      </x:c>
      <x:c r="M11" s="14"/>
      <x:c r="N11" s="10" t="str">
        <x:f>IF(A11="","",F11&amp;"_"&amp;COUNTIFS($F$6:F11,F11,$A$6:A11,"&lt;&gt;"))</x:f>
        <x:v>Por hacer_6</x:v>
      </x:c>
      <x:c r="O11" s="10" t="str">
        <x:f>IF(A11="","",IF(F11&lt;&gt;"Hecho","Pendiente",IF(AND(J11&lt;&gt;"",ISNUMBER(K11),L11="Aprobada"),"Verificado","Falta evidencia o revisión")))</x:f>
        <x:v>Pendiente</x:v>
      </x:c>
      <x:c r="P11" s="10" t="str">
        <x:v>RF-11</x:v>
      </x:c>
    </x:row>
    <x:row r="12" ht="44" customHeight="1">
      <x:c r="A12" s="11" t="str">
        <x:v>T-07</x:v>
      </x:c>
      <x:c r="B12" s="11" t="str">
        <x:v>HU-03</x:v>
      </x:c>
      <x:c r="C12" s="11" t="str">
        <x:v>Conectar revisión de pagos en Finanzas</x:v>
      </x:c>
      <x:c r="D12" s="11" t="str">
        <x:v>S1</x:v>
      </x:c>
      <x:c r="E12" s="12" t="str">
        <x:v>Por asignar</x:v>
      </x:c>
      <x:c r="F12" s="12" t="str">
        <x:v>Por hacer</x:v>
      </x:c>
      <x:c r="G12" s="11" t="str">
        <x:v>T-06</x:v>
      </x:c>
      <x:c r="H12" s="16"/>
      <x:c r="I12" s="11" t="str">
        <x:v>Tabla real; aprobar y rechazar con motivo; retiro de rótulos Webpay activos.</x:v>
      </x:c>
      <x:c r="J12" s="12" t="str"/>
      <x:c r="K12" s="14"/>
      <x:c r="L12" s="12" t="str">
        <x:v>Pendiente</x:v>
      </x:c>
      <x:c r="M12" s="14"/>
      <x:c r="N12" s="11" t="str">
        <x:f>IF(A12="","",F12&amp;"_"&amp;COUNTIFS($F$6:F12,F12,$A$6:A12,"&lt;&gt;"))</x:f>
        <x:v>Por hacer_7</x:v>
      </x:c>
      <x:c r="O12" s="11" t="str">
        <x:f>IF(A12="","",IF(F12&lt;&gt;"Hecho","Pendiente",IF(AND(J12&lt;&gt;"",ISNUMBER(K12),L12="Aprobada"),"Verificado","Falta evidencia o revisión")))</x:f>
        <x:v>Pendiente</x:v>
      </x:c>
      <x:c r="P12" s="11" t="str">
        <x:v>RF-12</x:v>
      </x:c>
    </x:row>
    <x:row r="13" ht="44" customHeight="1">
      <x:c r="A13" s="10" t="str">
        <x:v>T-08</x:v>
      </x:c>
      <x:c r="B13" s="10" t="str">
        <x:v>HU-03</x:v>
      </x:c>
      <x:c r="C13" s="10" t="str">
        <x:v>Verificar flujo y permisos del sprint</x:v>
      </x:c>
      <x:c r="D13" s="10" t="str">
        <x:v>S1</x:v>
      </x:c>
      <x:c r="E13" s="12" t="str">
        <x:v>Por asignar</x:v>
      </x:c>
      <x:c r="F13" s="12" t="str">
        <x:v>Por hacer</x:v>
      </x:c>
      <x:c r="G13" s="10" t="str">
        <x:v>T-03 a T-07</x:v>
      </x:c>
      <x:c r="H13" s="16"/>
      <x:c r="I13" s="10" t="str">
        <x:v>CP-02 a CP-06 y CP-11/CP-12 aprobados con evidencia; suite backend contiene pruebas ejecutables.</x:v>
      </x:c>
      <x:c r="J13" s="12" t="str"/>
      <x:c r="K13" s="14"/>
      <x:c r="L13" s="12" t="str">
        <x:v>Pendiente</x:v>
      </x:c>
      <x:c r="M13" s="14"/>
      <x:c r="N13" s="10" t="str">
        <x:f>IF(A13="","",F13&amp;"_"&amp;COUNTIFS($F$6:F13,F13,$A$6:A13,"&lt;&gt;"))</x:f>
        <x:v>Por hacer_8</x:v>
      </x:c>
      <x:c r="O13" s="10" t="str">
        <x:f>IF(A13="","",IF(F13&lt;&gt;"Hecho","Pendiente",IF(AND(J13&lt;&gt;"",ISNUMBER(K13),L13="Aprobada"),"Verificado","Falta evidencia o revisión")))</x:f>
        <x:v>Pendiente</x:v>
      </x:c>
      <x:c r="P13" s="10" t="str">
        <x:v>RNF-02; RNF-03; RNF-04; RNF-08; RNF-05</x:v>
      </x:c>
    </x:row>
    <x:row r="14" ht="44" customHeight="1">
      <x:c r="A14" s="11" t="str">
        <x:v>T-09</x:v>
      </x:c>
      <x:c r="B14" s="11" t="str">
        <x:v>HU-03</x:v>
      </x:c>
      <x:c r="C14" s="11" t="str">
        <x:v>Registrar demo review y documentación</x:v>
      </x:c>
      <x:c r="D14" s="11" t="str">
        <x:v>S1</x:v>
      </x:c>
      <x:c r="E14" s="12" t="str">
        <x:v>Por asignar</x:v>
      </x:c>
      <x:c r="F14" s="12" t="str">
        <x:v>Por hacer</x:v>
      </x:c>
      <x:c r="G14" s="11" t="str">
        <x:v>T-08</x:v>
      </x:c>
      <x:c r="H14" s="16"/>
      <x:c r="I14" s="11" t="str">
        <x:v>Commit, evidencias, resultados reales y decisiones de review registrados; guía de arranque actualizada.</x:v>
      </x:c>
      <x:c r="J14" s="12" t="str"/>
      <x:c r="K14" s="14"/>
      <x:c r="L14" s="12" t="str">
        <x:v>Pendiente</x:v>
      </x:c>
      <x:c r="M14" s="14"/>
      <x:c r="N14" s="11" t="str">
        <x:f>IF(A14="","",F14&amp;"_"&amp;COUNTIFS($F$6:F14,F14,$A$6:A14,"&lt;&gt;"))</x:f>
        <x:v>Por hacer_9</x:v>
      </x:c>
      <x:c r="O14" s="11" t="str">
        <x:f>IF(A14="","",IF(F14&lt;&gt;"Hecho","Pendiente",IF(AND(J14&lt;&gt;"",ISNUMBER(K14),L14="Aprobada"),"Verificado","Falta evidencia o revisión")))</x:f>
        <x:v>Pendiente</x:v>
      </x:c>
      <x:c r="P14" s="11" t="str">
        <x:v>RNF-08</x:v>
      </x:c>
    </x:row>
    <x:row r="15" ht="44" customHeight="1">
      <x:c r="A15" s="10" t="str">
        <x:v>T-10</x:v>
      </x:c>
      <x:c r="B15" s="10" t="str">
        <x:v>HU-04</x:v>
      </x:c>
      <x:c r="C15" s="10" t="str">
        <x:v>Conectar asignación y bandeja comercial</x:v>
      </x:c>
      <x:c r="D15" s="10" t="str">
        <x:v>S2</x:v>
      </x:c>
      <x:c r="E15" s="12" t="str">
        <x:v>Por asignar</x:v>
      </x:c>
      <x:c r="F15" s="12" t="str">
        <x:v>Backlog</x:v>
      </x:c>
      <x:c r="G15" s="10" t="str">
        <x:v>T-05</x:v>
      </x:c>
      <x:c r="H15" s="16"/>
      <x:c r="I15" s="10" t="str">
        <x:v>Admin asigna; comercial solo ve trámites asignados.</x:v>
      </x:c>
      <x:c r="J15" s="12" t="str"/>
      <x:c r="K15" s="14"/>
      <x:c r="L15" s="12" t="str">
        <x:v>Pendiente</x:v>
      </x:c>
      <x:c r="M15" s="14"/>
      <x:c r="N15" s="10" t="str">
        <x:f>IF(A15="","",F15&amp;"_"&amp;COUNTIFS($F$6:F15,F15,$A$6:A15,"&lt;&gt;"))</x:f>
        <x:v>Backlog_1</x:v>
      </x:c>
      <x:c r="O15" s="10" t="str">
        <x:f>IF(A15="","",IF(F15&lt;&gt;"Hecho","Pendiente",IF(AND(J15&lt;&gt;"",ISNUMBER(K15),L15="Aprobada"),"Verificado","Falta evidencia o revisión")))</x:f>
        <x:v>Pendiente</x:v>
      </x:c>
      <x:c r="P15" s="10" t="str">
        <x:v>RF-07; RF-06</x:v>
      </x:c>
    </x:row>
    <x:row r="16" ht="44" customHeight="1">
      <x:c r="A16" s="11" t="str">
        <x:v>T-11</x:v>
      </x:c>
      <x:c r="B16" s="11" t="str">
        <x:v>HU-05</x:v>
      </x:c>
      <x:c r="C16" s="11" t="str">
        <x:v>Agregar plantillas y editor versionado</x:v>
      </x:c>
      <x:c r="D16" s="11" t="str">
        <x:v>S2</x:v>
      </x:c>
      <x:c r="E16" s="12" t="str">
        <x:v>Por asignar</x:v>
      </x:c>
      <x:c r="F16" s="12" t="str">
        <x:v>Backlog</x:v>
      </x:c>
      <x:c r="G16" s="11" t="str">
        <x:v>T-07; T-10</x:v>
      </x:c>
      <x:c r="H16" s="16"/>
      <x:c r="I16" s="11" t="str">
        <x:v>Guardar versión nueva y tratar 409 preservando texto local.</x:v>
      </x:c>
      <x:c r="J16" s="12" t="str"/>
      <x:c r="K16" s="14"/>
      <x:c r="L16" s="12" t="str">
        <x:v>Pendiente</x:v>
      </x:c>
      <x:c r="M16" s="14"/>
      <x:c r="N16" s="11" t="str">
        <x:f>IF(A16="","",F16&amp;"_"&amp;COUNTIFS($F$6:F16,F16,$A$6:A16,"&lt;&gt;"))</x:f>
        <x:v>Backlog_2</x:v>
      </x:c>
      <x:c r="O16" s="11" t="str">
        <x:f>IF(A16="","",IF(F16&lt;&gt;"Hecho","Pendiente",IF(AND(J16&lt;&gt;"",ISNUMBER(K16),L16="Aprobada"),"Verificado","Falta evidencia o revisión")))</x:f>
        <x:v>Pendiente</x:v>
      </x:c>
      <x:c r="P16" s="11" t="str">
        <x:v>RF-14; RF-15</x:v>
      </x:c>
    </x:row>
    <x:row r="17" ht="44" customHeight="1">
      <x:c r="A17" s="10" t="str">
        <x:v>T-12</x:v>
      </x:c>
      <x:c r="B17" s="10" t="str">
        <x:v>HU-06</x:v>
      </x:c>
      <x:c r="C17" s="10" t="str">
        <x:v>Implementar revisión observación y cierre</x:v>
      </x:c>
      <x:c r="D17" s="10" t="str">
        <x:v>S2</x:v>
      </x:c>
      <x:c r="E17" s="12" t="str">
        <x:v>Por asignar</x:v>
      </x:c>
      <x:c r="F17" s="12" t="str">
        <x:v>Backlog</x:v>
      </x:c>
      <x:c r="G17" s="10" t="str">
        <x:v>T-11</x:v>
      </x:c>
      <x:c r="H17" s="16"/>
      <x:c r="I17" s="10" t="str">
        <x:v>Ciclo observado/corregido/aprobado; cierre solo sin FEA.</x:v>
      </x:c>
      <x:c r="J17" s="12" t="str"/>
      <x:c r="K17" s="14"/>
      <x:c r="L17" s="12" t="str">
        <x:v>Pendiente</x:v>
      </x:c>
      <x:c r="M17" s="14"/>
      <x:c r="N17" s="10" t="str">
        <x:f>IF(A17="","",F17&amp;"_"&amp;COUNTIFS($F$6:F17,F17,$A$6:A17,"&lt;&gt;"))</x:f>
        <x:v>Backlog_3</x:v>
      </x:c>
      <x:c r="O17" s="10" t="str">
        <x:f>IF(A17="","",IF(F17&lt;&gt;"Hecho","Pendiente",IF(AND(J17&lt;&gt;"",ISNUMBER(K17),L17="Aprobada"),"Verificado","Falta evidencia o revisión")))</x:f>
        <x:v>Pendiente</x:v>
      </x:c>
      <x:c r="P17" s="10" t="str">
        <x:v>RF-16; RF-20</x:v>
      </x:c>
    </x:row>
    <x:row r="18" ht="44" customHeight="1">
      <x:c r="A18" s="11" t="str">
        <x:v>T-13</x:v>
      </x:c>
      <x:c r="B18" s="11" t="str">
        <x:v>HU-07</x:v>
      </x:c>
      <x:c r="C18" s="11" t="str">
        <x:v>Integrar adjuntos y descarga privada</x:v>
      </x:c>
      <x:c r="D18" s="11" t="str">
        <x:v>S2</x:v>
      </x:c>
      <x:c r="E18" s="12" t="str">
        <x:v>Por asignar</x:v>
      </x:c>
      <x:c r="F18" s="12" t="str">
        <x:v>Backlog</x:v>
      </x:c>
      <x:c r="G18" s="11" t="str">
        <x:v>T-05</x:v>
      </x:c>
      <x:c r="H18" s="16"/>
      <x:c r="I18" s="11" t="str">
        <x:v>Validación de límites, blob autenticado y rechazo de acceso ajeno.</x:v>
      </x:c>
      <x:c r="J18" s="12" t="str"/>
      <x:c r="K18" s="14"/>
      <x:c r="L18" s="12" t="str">
        <x:v>Pendiente</x:v>
      </x:c>
      <x:c r="M18" s="14"/>
      <x:c r="N18" s="11" t="str">
        <x:f>IF(A18="","",F18&amp;"_"&amp;COUNTIFS($F$6:F18,F18,$A$6:A18,"&lt;&gt;"))</x:f>
        <x:v>Backlog_4</x:v>
      </x:c>
      <x:c r="O18" s="11" t="str">
        <x:f>IF(A18="","",IF(F18&lt;&gt;"Hecho","Pendiente",IF(AND(J18&lt;&gt;"",ISNUMBER(K18),L18="Aprobada"),"Verificado","Falta evidencia o revisión")))</x:f>
        <x:v>Pendiente</x:v>
      </x:c>
      <x:c r="P18" s="11" t="str">
        <x:v>RF-17</x:v>
      </x:c>
    </x:row>
    <x:row r="19" ht="44" customHeight="1">
      <x:c r="A19" s="10" t="str">
        <x:v>T-14</x:v>
      </x:c>
      <x:c r="B19" s="10" t="str">
        <x:v>HU-08</x:v>
      </x:c>
      <x:c r="C19" s="10" t="str">
        <x:v>Agregar registro de cliente</x:v>
      </x:c>
      <x:c r="D19" s="10" t="str">
        <x:v>S2</x:v>
      </x:c>
      <x:c r="E19" s="12" t="str">
        <x:v>Por asignar</x:v>
      </x:c>
      <x:c r="F19" s="12" t="str">
        <x:v>Backlog</x:v>
      </x:c>
      <x:c r="G19" s="10" t="str">
        <x:v>T-03</x:v>
      </x:c>
      <x:c r="H19" s="16"/>
      <x:c r="I19" s="10" t="str">
        <x:v>Validación de correo contraseña y RUT; registro siempre cliente.</x:v>
      </x:c>
      <x:c r="J19" s="12" t="str"/>
      <x:c r="K19" s="14"/>
      <x:c r="L19" s="12" t="str">
        <x:v>Pendiente</x:v>
      </x:c>
      <x:c r="M19" s="14"/>
      <x:c r="N19" s="10" t="str">
        <x:f>IF(A19="","",F19&amp;"_"&amp;COUNTIFS($F$6:F19,F19,$A$6:A19,"&lt;&gt;"))</x:f>
        <x:v>Backlog_5</x:v>
      </x:c>
      <x:c r="O19" s="10" t="str">
        <x:f>IF(A19="","",IF(F19&lt;&gt;"Hecho","Pendiente",IF(AND(J19&lt;&gt;"",ISNUMBER(K19),L19="Aprobada"),"Verificado","Falta evidencia o revisión")))</x:f>
        <x:v>Pendiente</x:v>
      </x:c>
      <x:c r="P19" s="10" t="str">
        <x:v>RF-01</x:v>
      </x:c>
    </x:row>
    <x:row r="20" ht="44" customHeight="1">
      <x:c r="A20" s="11" t="str">
        <x:v>T-15</x:v>
      </x:c>
      <x:c r="B20" s="11" t="str">
        <x:v>HU-06</x:v>
      </x:c>
      <x:c r="C20" s="11" t="str">
        <x:v>Validar ciclo documental y mostrar incremento</x:v>
      </x:c>
      <x:c r="D20" s="11" t="str">
        <x:v>S2</x:v>
      </x:c>
      <x:c r="E20" s="12" t="str">
        <x:v>Por asignar</x:v>
      </x:c>
      <x:c r="F20" s="12" t="str">
        <x:v>Backlog</x:v>
      </x:c>
      <x:c r="G20" s="11" t="str">
        <x:v>T-10 a T-14</x:v>
      </x:c>
      <x:c r="H20" s="16"/>
      <x:c r="I20" s="11" t="str">
        <x:v>CP-01 y CP-07 a CP-10 aprobados; review y retro registradas.</x:v>
      </x:c>
      <x:c r="J20" s="12" t="str"/>
      <x:c r="K20" s="14"/>
      <x:c r="L20" s="12" t="str">
        <x:v>Pendiente</x:v>
      </x:c>
      <x:c r="M20" s="14"/>
      <x:c r="N20" s="11" t="str">
        <x:f>IF(A20="","",F20&amp;"_"&amp;COUNTIFS($F$6:F20,F20,$A$6:A20,"&lt;&gt;"))</x:f>
        <x:v>Backlog_6</x:v>
      </x:c>
      <x:c r="O20" s="11" t="str">
        <x:f>IF(A20="","",IF(F20&lt;&gt;"Hecho","Pendiente",IF(AND(J20&lt;&gt;"",ISNUMBER(K20),L20="Aprobada"),"Verificado","Falta evidencia o revisión")))</x:f>
        <x:v>Pendiente</x:v>
      </x:c>
      <x:c r="P20" s="11" t="str">
        <x:v>RF-01; RF-14; RF-15; RF-16; RF-17; RF-20</x:v>
      </x:c>
    </x:row>
    <x:row r="21" ht="44" customHeight="1">
      <x:c r="A21" s="10" t="str">
        <x:v>T-16</x:v>
      </x:c>
      <x:c r="B21" s="10" t="str">
        <x:v>HU-09</x:v>
      </x:c>
      <x:c r="C21" s="10" t="str">
        <x:v>Conectar usuarios y búsqueda de clientes</x:v>
      </x:c>
      <x:c r="D21" s="10" t="str">
        <x:v>S3</x:v>
      </x:c>
      <x:c r="E21" s="12" t="str">
        <x:v>Por asignar</x:v>
      </x:c>
      <x:c r="F21" s="12" t="str">
        <x:v>Backlog</x:v>
      </x:c>
      <x:c r="G21" s="10" t="str">
        <x:v>T-10</x:v>
      </x:c>
      <x:c r="H21" s="16"/>
      <x:c r="I21" s="10" t="str">
        <x:v>Gestión de cuentas y búsqueda auditada con alcance correcto.</x:v>
      </x:c>
      <x:c r="J21" s="12" t="str"/>
      <x:c r="K21" s="14"/>
      <x:c r="L21" s="12" t="str">
        <x:v>Pendiente</x:v>
      </x:c>
      <x:c r="M21" s="14"/>
      <x:c r="N21" s="10" t="str">
        <x:f>IF(A21="","",F21&amp;"_"&amp;COUNTIFS($F$6:F21,F21,$A$6:A21,"&lt;&gt;"))</x:f>
        <x:v>Backlog_7</x:v>
      </x:c>
      <x:c r="O21" s="10" t="str">
        <x:f>IF(A21="","",IF(F21&lt;&gt;"Hecho","Pendiente",IF(AND(J21&lt;&gt;"",ISNUMBER(K21),L21="Aprobada"),"Verificado","Falta evidencia o revisión")))</x:f>
        <x:v>Pendiente</x:v>
      </x:c>
      <x:c r="P21" s="10" t="str">
        <x:v>RF-08; RF-09</x:v>
      </x:c>
    </x:row>
    <x:row r="22" ht="44" customHeight="1">
      <x:c r="A22" s="11" t="str">
        <x:v>T-17</x:v>
      </x:c>
      <x:c r="B22" s="11" t="str">
        <x:v>HU-10</x:v>
      </x:c>
      <x:c r="C22" s="11" t="str">
        <x:v>Integrar avisos auditoría e indicadores</x:v>
      </x:c>
      <x:c r="D22" s="11" t="str">
        <x:v>S3</x:v>
      </x:c>
      <x:c r="E22" s="12" t="str">
        <x:v>Por asignar</x:v>
      </x:c>
      <x:c r="F22" s="12" t="str">
        <x:v>Backlog</x:v>
      </x:c>
      <x:c r="G22" s="11" t="str">
        <x:v>T-12</x:v>
      </x:c>
      <x:c r="H22" s="16"/>
      <x:c r="I22" s="11" t="str">
        <x:v>Listados reales por rol; notificaciones propias y auditoría administrativa.</x:v>
      </x:c>
      <x:c r="J22" s="12" t="str"/>
      <x:c r="K22" s="14"/>
      <x:c r="L22" s="12" t="str">
        <x:v>Pendiente</x:v>
      </x:c>
      <x:c r="M22" s="14"/>
      <x:c r="N22" s="11" t="str">
        <x:f>IF(A22="","",F22&amp;"_"&amp;COUNTIFS($F$6:F22,F22,$A$6:A22,"&lt;&gt;"))</x:f>
        <x:v>Backlog_8</x:v>
      </x:c>
      <x:c r="O22" s="11" t="str">
        <x:f>IF(A22="","",IF(F22&lt;&gt;"Hecho","Pendiente",IF(AND(J22&lt;&gt;"",ISNUMBER(K22),L22="Aprobada"),"Verificado","Falta evidencia o revisión")))</x:f>
        <x:v>Pendiente</x:v>
      </x:c>
      <x:c r="P22" s="11" t="str">
        <x:v>RF-10; RF-18; RF-19</x:v>
      </x:c>
    </x:row>
    <x:row r="23" ht="44" customHeight="1">
      <x:c r="A23" s="10" t="str">
        <x:v>T-18</x:v>
      </x:c>
      <x:c r="B23" s="10" t="str">
        <x:v>HU-11</x:v>
      </x:c>
      <x:c r="C23" s="10" t="str">
        <x:v>Conectar reportes y comprobantes</x:v>
      </x:c>
      <x:c r="D23" s="10" t="str">
        <x:v>S3</x:v>
      </x:c>
      <x:c r="E23" s="12" t="str">
        <x:v>Por asignar</x:v>
      </x:c>
      <x:c r="F23" s="12" t="str">
        <x:v>Backlog</x:v>
      </x:c>
      <x:c r="G23" s="10" t="str">
        <x:v>T-07</x:v>
      </x:c>
      <x:c r="H23" s="16"/>
      <x:c r="I23" s="10" t="str">
        <x:v>Totales reconciliados y descarga de TXT rotulado no tributario.</x:v>
      </x:c>
      <x:c r="J23" s="12" t="str"/>
      <x:c r="K23" s="14"/>
      <x:c r="L23" s="12" t="str">
        <x:v>Pendiente</x:v>
      </x:c>
      <x:c r="M23" s="14"/>
      <x:c r="N23" s="10" t="str">
        <x:f>IF(A23="","",F23&amp;"_"&amp;COUNTIFS($F$6:F23,F23,$A$6:A23,"&lt;&gt;"))</x:f>
        <x:v>Backlog_9</x:v>
      </x:c>
      <x:c r="O23" s="10" t="str">
        <x:f>IF(A23="","",IF(F23&lt;&gt;"Hecho","Pendiente",IF(AND(J23&lt;&gt;"",ISNUMBER(K23),L23="Aprobada"),"Verificado","Falta evidencia o revisión")))</x:f>
        <x:v>Pendiente</x:v>
      </x:c>
      <x:c r="P23" s="10" t="str">
        <x:v>RF-13; RF-19</x:v>
      </x:c>
    </x:row>
    <x:row r="24" ht="44" customHeight="1">
      <x:c r="A24" s="11" t="str">
        <x:v>T-19</x:v>
      </x:c>
      <x:c r="B24" s="11" t="str">
        <x:v>HU-12</x:v>
      </x:c>
      <x:c r="C24" s="11" t="str">
        <x:v>Probar rendimiento y restauración</x:v>
      </x:c>
      <x:c r="D24" s="11" t="str">
        <x:v>S3</x:v>
      </x:c>
      <x:c r="E24" s="12" t="str">
        <x:v>Por asignar</x:v>
      </x:c>
      <x:c r="F24" s="12" t="str">
        <x:v>Backlog</x:v>
      </x:c>
      <x:c r="G24" s="11" t="str">
        <x:v>T-17; T-18</x:v>
      </x:c>
      <x:c r="H24" s="16"/>
      <x:c r="I24" s="11" t="str">
        <x:v>Medir p95 y restaurar respaldo; registrar RPO/RTO observados.</x:v>
      </x:c>
      <x:c r="J24" s="12" t="str"/>
      <x:c r="K24" s="14"/>
      <x:c r="L24" s="12" t="str">
        <x:v>Pendiente</x:v>
      </x:c>
      <x:c r="M24" s="14"/>
      <x:c r="N24" s="11" t="str">
        <x:f>IF(A24="","",F24&amp;"_"&amp;COUNTIFS($F$6:F24,F24,$A$6:A24,"&lt;&gt;"))</x:f>
        <x:v>Backlog_10</x:v>
      </x:c>
      <x:c r="O24" s="11" t="str">
        <x:f>IF(A24="","",IF(F24&lt;&gt;"Hecho","Pendiente",IF(AND(J24&lt;&gt;"",ISNUMBER(K24),L24="Aprobada"),"Verificado","Falta evidencia o revisión")))</x:f>
        <x:v>Pendiente</x:v>
      </x:c>
      <x:c r="P24" s="11" t="str">
        <x:v>RNF-06; RNF-07</x:v>
      </x:c>
    </x:row>
    <x:row r="25" ht="44" customHeight="1">
      <x:c r="A25" s="10" t="str">
        <x:v>T-20</x:v>
      </x:c>
      <x:c r="B25" s="10" t="str">
        <x:v>HU-12</x:v>
      </x:c>
      <x:c r="C25" s="10" t="str">
        <x:v>Validar usabilidad y preparar entrega</x:v>
      </x:c>
      <x:c r="D25" s="10" t="str">
        <x:v>S3</x:v>
      </x:c>
      <x:c r="E25" s="12" t="str">
        <x:v>Por asignar</x:v>
      </x:c>
      <x:c r="F25" s="12" t="str">
        <x:v>Backlog</x:v>
      </x:c>
      <x:c r="G25" s="10" t="str">
        <x:v>T-16 a T-19</x:v>
      </x:c>
      <x:c r="H25" s="16"/>
      <x:c r="I25" s="10" t="str">
        <x:v>CP-13 a CP-17 ejecutados; defectos priorizados y manual actualizado.</x:v>
      </x:c>
      <x:c r="J25" s="12" t="str"/>
      <x:c r="K25" s="14"/>
      <x:c r="L25" s="12" t="str">
        <x:v>Pendiente</x:v>
      </x:c>
      <x:c r="M25" s="14"/>
      <x:c r="N25" s="10" t="str">
        <x:f>IF(A25="","",F25&amp;"_"&amp;COUNTIFS($F$6:F25,F25,$A$6:A25,"&lt;&gt;"))</x:f>
        <x:v>Backlog_11</x:v>
      </x:c>
      <x:c r="O25" s="10" t="str">
        <x:f>IF(A25="","",IF(F25&lt;&gt;"Hecho","Pendiente",IF(AND(J25&lt;&gt;"",ISNUMBER(K25),L25="Aprobada"),"Verificado","Falta evidencia o revisión")))</x:f>
        <x:v>Pendiente</x:v>
      </x:c>
      <x:c r="P25" s="10" t="str">
        <x:v>RNF-05; RNF-08</x:v>
      </x:c>
    </x:row>
    <x:row r="26" ht="44" customHeight="1">
      <x:c r="A26" s="11" t="str">
        <x:v>T-21</x:v>
      </x:c>
      <x:c r="B26" s="11" t="str">
        <x:v>HU-13</x:v>
      </x:c>
      <x:c r="C26" s="11" t="str">
        <x:v>Definir e integrar proveedor de FEA</x:v>
      </x:c>
      <x:c r="D26" s="11" t="str">
        <x:v>Futuro</x:v>
      </x:c>
      <x:c r="E26" s="12" t="str">
        <x:v>Por asignar</x:v>
      </x:c>
      <x:c r="F26" s="12" t="str">
        <x:v>Bloqueado</x:v>
      </x:c>
      <x:c r="G26" s="11" t="str">
        <x:v>D-05; T-12</x:v>
      </x:c>
      <x:c r="H26" s="16"/>
      <x:c r="I26" s="11" t="str">
        <x:v>Sandbox y evidencia de firma verificables; CP-18 actualizado.</x:v>
      </x:c>
      <x:c r="J26" s="12" t="str"/>
      <x:c r="K26" s="14"/>
      <x:c r="L26" s="12" t="str">
        <x:v>Pendiente</x:v>
      </x:c>
      <x:c r="M26" s="14"/>
      <x:c r="N26" s="11" t="str">
        <x:f>IF(A26="","",F26&amp;"_"&amp;COUNTIFS($F$6:F26,F26,$A$6:A26,"&lt;&gt;"))</x:f>
        <x:v>Bloqueado_1</x:v>
      </x:c>
      <x:c r="O26" s="11" t="str">
        <x:f>IF(A26="","",IF(F26&lt;&gt;"Hecho","Pendiente",IF(AND(J26&lt;&gt;"",ISNUMBER(K26),L26="Aprobada"),"Verificado","Falta evidencia o revisión")))</x:f>
        <x:v>Pendiente</x:v>
      </x:c>
      <x:c r="P26" s="11" t="str">
        <x:v>RF-21</x:v>
      </x:c>
    </x:row>
    <x:row r="27" ht="44" customHeight="1">
      <x:c r="A27" s="10" t="str">
        <x:v>T-22</x:v>
      </x:c>
      <x:c r="B27" s="10" t="str">
        <x:v>HU-14</x:v>
      </x:c>
      <x:c r="C27" s="10" t="str">
        <x:v>Definir e integrar Webpay</x:v>
      </x:c>
      <x:c r="D27" s="10" t="str">
        <x:v>Futuro</x:v>
      </x:c>
      <x:c r="E27" s="12" t="str">
        <x:v>Por asignar</x:v>
      </x:c>
      <x:c r="F27" s="12" t="str">
        <x:v>Bloqueado</x:v>
      </x:c>
      <x:c r="G27" s="10" t="str">
        <x:v>D-06; T-07</x:v>
      </x:c>
      <x:c r="H27" s="16"/>
      <x:c r="I27" s="10" t="str">
        <x:v>Pago validado en servidor y callbacks idempotentes probados.</x:v>
      </x:c>
      <x:c r="J27" s="12" t="str"/>
      <x:c r="K27" s="14"/>
      <x:c r="L27" s="12" t="str">
        <x:v>Pendiente</x:v>
      </x:c>
      <x:c r="M27" s="14"/>
      <x:c r="N27" s="10" t="str">
        <x:f>IF(A27="","",F27&amp;"_"&amp;COUNTIFS($F$6:F27,F27,$A$6:A27,"&lt;&gt;"))</x:f>
        <x:v>Bloqueado_2</x:v>
      </x:c>
      <x:c r="O27" s="10" t="str">
        <x:f>IF(A27="","",IF(F27&lt;&gt;"Hecho","Pendiente",IF(AND(J27&lt;&gt;"",ISNUMBER(K27),L27="Aprobada"),"Verificado","Falta evidencia o revisión")))</x:f>
        <x:v>Pendiente</x:v>
      </x:c>
      <x:c r="P27" s="10" t="str">
        <x:v>RF-22</x:v>
      </x:c>
    </x:row>
    <x:row r="28" ht="44" customHeight="1">
      <x:c r="A28" s="11" t="str">
        <x:v>T-23</x:v>
      </x:c>
      <x:c r="B28" s="11" t="str">
        <x:v>HU-15</x:v>
      </x:c>
      <x:c r="C28" s="11" t="str">
        <x:v>Generar PDF con plantillas aprobadas</x:v>
      </x:c>
      <x:c r="D28" s="11" t="str">
        <x:v>Futuro</x:v>
      </x:c>
      <x:c r="E28" s="12" t="str">
        <x:v>Por asignar</x:v>
      </x:c>
      <x:c r="F28" s="12" t="str">
        <x:v>Bloqueado</x:v>
      </x:c>
      <x:c r="G28" s="11" t="str">
        <x:v>D-04; T-11</x:v>
      </x:c>
      <x:c r="H28" s="16"/>
      <x:c r="I28" s="11" t="str">
        <x:v>Documento final coincide con plantilla y evidencias requeridas.</x:v>
      </x:c>
      <x:c r="J28" s="12" t="str"/>
      <x:c r="K28" s="14"/>
      <x:c r="L28" s="12" t="str">
        <x:v>Pendiente</x:v>
      </x:c>
      <x:c r="M28" s="14"/>
      <x:c r="N28" s="11" t="str">
        <x:f>IF(A28="","",F28&amp;"_"&amp;COUNTIFS($F$6:F28,F28,$A$6:A28,"&lt;&gt;"))</x:f>
        <x:v>Bloqueado_3</x:v>
      </x:c>
      <x:c r="O28" s="11" t="str">
        <x:f>IF(A28="","",IF(F28&lt;&gt;"Hecho","Pendiente",IF(AND(J28&lt;&gt;"",ISNUMBER(K28),L28="Aprobada"),"Verificado","Falta evidencia o revisión")))</x:f>
        <x:v>Pendiente</x:v>
      </x:c>
      <x:c r="P28" s="11" t="str">
        <x:v>RF-23</x:v>
      </x:c>
    </x:row>
    <x:row r="29" ht="44" customHeight="1">
      <x:c r="A29" s="10" t="str">
        <x:v>T-24</x:v>
      </x:c>
      <x:c r="B29" s="10" t="str">
        <x:v>HU-16</x:v>
      </x:c>
      <x:c r="C29" s="10" t="str">
        <x:v>Implementar recuperación de acceso</x:v>
      </x:c>
      <x:c r="D29" s="10" t="str">
        <x:v>Futuro</x:v>
      </x:c>
      <x:c r="E29" s="12" t="str">
        <x:v>Por asignar</x:v>
      </x:c>
      <x:c r="F29" s="12" t="str">
        <x:v>Bloqueado</x:v>
      </x:c>
      <x:c r="G29" s="10" t="str">
        <x:v>D-09; T-03</x:v>
      </x:c>
      <x:c r="H29" s="16"/>
      <x:c r="I29" s="10" t="str">
        <x:v>Token de un uso y revocación de sesiones probados.</x:v>
      </x:c>
      <x:c r="J29" s="12" t="str"/>
      <x:c r="K29" s="14"/>
      <x:c r="L29" s="12" t="str">
        <x:v>Pendiente</x:v>
      </x:c>
      <x:c r="M29" s="14"/>
      <x:c r="N29" s="10" t="str">
        <x:f>IF(A29="","",F29&amp;"_"&amp;COUNTIFS($F$6:F29,F29,$A$6:A29,"&lt;&gt;"))</x:f>
        <x:v>Bloqueado_4</x:v>
      </x:c>
      <x:c r="O29" s="10" t="str">
        <x:f>IF(A29="","",IF(F29&lt;&gt;"Hecho","Pendiente",IF(AND(J29&lt;&gt;"",ISNUMBER(K29),L29="Aprobada"),"Verificado","Falta evidencia o revisión")))</x:f>
        <x:v>Pendiente</x:v>
      </x:c>
      <x:c r="P29" s="10" t="str">
        <x:v>RF-24</x:v>
      </x:c>
    </x:row>
    <x:row r="30">
      <x:c r="A30"/>
      <x:c r="B30"/>
      <x:c r="C30"/>
      <x:c r="D30"/>
      <x:c r="E30" s="13"/>
      <x:c r="F30" s="13"/>
      <x:c r="H30" s="17"/>
      <x:c r="J30" s="13"/>
      <x:c r="K30" s="15"/>
      <x:c r="L30" s="13"/>
      <x:c r="M30" s="15"/>
      <x:c r="N30" t="str">
        <x:f>IF(A30="","",F30&amp;"_"&amp;COUNTIFS($F$6:F30,F30,$A$6:A30,"&lt;&gt;"))</x:f>
      </x:c>
      <x:c r="O30" t="str">
        <x:f>IF(A30="","",IF(F30&lt;&gt;"Hecho","Pendiente",IF(AND(J30&lt;&gt;"",ISNUMBER(K30),L30="Aprobada"),"Verificado","Falta evidencia o revisión")))</x:f>
      </x:c>
    </x:row>
    <x:row r="31">
      <x:c r="E31" s="13"/>
      <x:c r="F31" s="13"/>
      <x:c r="H31" s="17"/>
      <x:c r="J31" s="13"/>
      <x:c r="K31" s="15"/>
      <x:c r="L31" s="13"/>
      <x:c r="M31" s="15"/>
      <x:c r="N31" t="str">
        <x:f>IF(A31="","",F31&amp;"_"&amp;COUNTIFS($F$6:F31,F31,$A$6:A31,"&lt;&gt;"))</x:f>
      </x:c>
      <x:c r="O31" t="str">
        <x:f>IF(A31="","",IF(F31&lt;&gt;"Hecho","Pendiente",IF(AND(J31&lt;&gt;"",ISNUMBER(K31),L31="Aprobada"),"Verificado","Falta evidencia o revisión")))</x:f>
      </x:c>
    </x:row>
    <x:row r="32">
      <x:c r="E32" s="13"/>
      <x:c r="F32" s="13"/>
      <x:c r="H32" s="17"/>
      <x:c r="J32" s="13"/>
      <x:c r="K32" s="15"/>
      <x:c r="L32" s="13"/>
      <x:c r="M32" s="15"/>
      <x:c r="N32" t="str">
        <x:f>IF(A32="","",F32&amp;"_"&amp;COUNTIFS($F$6:F32,F32,$A$6:A32,"&lt;&gt;"))</x:f>
      </x:c>
      <x:c r="O32" t="str">
        <x:f>IF(A32="","",IF(F32&lt;&gt;"Hecho","Pendiente",IF(AND(J32&lt;&gt;"",ISNUMBER(K32),L32="Aprobada"),"Verificado","Falta evidencia o revisión")))</x:f>
      </x:c>
    </x:row>
    <x:row r="33">
      <x:c r="E33" s="13"/>
      <x:c r="F33" s="13"/>
      <x:c r="H33" s="17"/>
      <x:c r="J33" s="13"/>
      <x:c r="K33" s="15"/>
      <x:c r="L33" s="13"/>
      <x:c r="M33" s="15"/>
      <x:c r="N33" t="str">
        <x:f>IF(A33="","",F33&amp;"_"&amp;COUNTIFS($F$6:F33,F33,$A$6:A33,"&lt;&gt;"))</x:f>
      </x:c>
      <x:c r="O33" t="str">
        <x:f>IF(A33="","",IF(F33&lt;&gt;"Hecho","Pendiente",IF(AND(J33&lt;&gt;"",ISNUMBER(K33),L33="Aprobada"),"Verificado","Falta evidencia o revisión")))</x:f>
      </x:c>
    </x:row>
    <x:row r="34">
      <x:c r="E34" s="13"/>
      <x:c r="F34" s="13"/>
      <x:c r="H34" s="17"/>
      <x:c r="J34" s="13"/>
      <x:c r="K34" s="15"/>
      <x:c r="L34" s="13"/>
      <x:c r="M34" s="15"/>
      <x:c r="N34" t="str">
        <x:f>IF(A34="","",F34&amp;"_"&amp;COUNTIFS($F$6:F34,F34,$A$6:A34,"&lt;&gt;"))</x:f>
      </x:c>
      <x:c r="O34" t="str">
        <x:f>IF(A34="","",IF(F34&lt;&gt;"Hecho","Pendiente",IF(AND(J34&lt;&gt;"",ISNUMBER(K34),L34="Aprobada"),"Verificado","Falta evidencia o revisión")))</x:f>
      </x:c>
    </x:row>
    <x:row r="35">
      <x:c r="E35" s="13"/>
      <x:c r="F35" s="13"/>
      <x:c r="H35" s="17"/>
      <x:c r="J35" s="13"/>
      <x:c r="K35" s="15"/>
      <x:c r="L35" s="13"/>
      <x:c r="M35" s="15"/>
      <x:c r="N35" t="str">
        <x:f>IF(A35="","",F35&amp;"_"&amp;COUNTIFS($F$6:F35,F35,$A$6:A35,"&lt;&gt;"))</x:f>
      </x:c>
      <x:c r="O35" t="str">
        <x:f>IF(A35="","",IF(F35&lt;&gt;"Hecho","Pendiente",IF(AND(J35&lt;&gt;"",ISNUMBER(K35),L35="Aprobada"),"Verificado","Falta evidencia o revisión")))</x:f>
      </x:c>
    </x:row>
    <x:row r="36">
      <x:c r="E36" s="13"/>
      <x:c r="F36" s="13"/>
      <x:c r="H36" s="17"/>
      <x:c r="J36" s="13"/>
      <x:c r="K36" s="15"/>
      <x:c r="L36" s="13"/>
      <x:c r="M36" s="15"/>
      <x:c r="N36" t="str">
        <x:f>IF(A36="","",F36&amp;"_"&amp;COUNTIFS($F$6:F36,F36,$A$6:A36,"&lt;&gt;"))</x:f>
      </x:c>
      <x:c r="O36" t="str">
        <x:f>IF(A36="","",IF(F36&lt;&gt;"Hecho","Pendiente",IF(AND(J36&lt;&gt;"",ISNUMBER(K36),L36="Aprobada"),"Verificado","Falta evidencia o revisión")))</x:f>
      </x:c>
    </x:row>
    <x:row r="37">
      <x:c r="E37" s="13"/>
      <x:c r="F37" s="13"/>
      <x:c r="H37" s="17"/>
      <x:c r="J37" s="13"/>
      <x:c r="K37" s="15"/>
      <x:c r="L37" s="13"/>
      <x:c r="M37" s="15"/>
      <x:c r="N37" t="str">
        <x:f>IF(A37="","",F37&amp;"_"&amp;COUNTIFS($F$6:F37,F37,$A$6:A37,"&lt;&gt;"))</x:f>
      </x:c>
      <x:c r="O37" t="str">
        <x:f>IF(A37="","",IF(F37&lt;&gt;"Hecho","Pendiente",IF(AND(J37&lt;&gt;"",ISNUMBER(K37),L37="Aprobada"),"Verificado","Falta evidencia o revisión")))</x:f>
      </x:c>
    </x:row>
    <x:row r="38">
      <x:c r="E38" s="13"/>
      <x:c r="F38" s="13"/>
      <x:c r="H38" s="17"/>
      <x:c r="J38" s="13"/>
      <x:c r="K38" s="15"/>
      <x:c r="L38" s="13"/>
      <x:c r="M38" s="15"/>
      <x:c r="N38" t="str">
        <x:f>IF(A38="","",F38&amp;"_"&amp;COUNTIFS($F$6:F38,F38,$A$6:A38,"&lt;&gt;"))</x:f>
      </x:c>
      <x:c r="O38" t="str">
        <x:f>IF(A38="","",IF(F38&lt;&gt;"Hecho","Pendiente",IF(AND(J38&lt;&gt;"",ISNUMBER(K38),L38="Aprobada"),"Verificado","Falta evidencia o revisión")))</x:f>
      </x:c>
    </x:row>
    <x:row r="39">
      <x:c r="E39" s="13"/>
      <x:c r="F39" s="13"/>
      <x:c r="H39" s="17"/>
      <x:c r="J39" s="13"/>
      <x:c r="K39" s="15"/>
      <x:c r="L39" s="13"/>
      <x:c r="M39" s="15"/>
      <x:c r="N39" t="str">
        <x:f>IF(A39="","",F39&amp;"_"&amp;COUNTIFS($F$6:F39,F39,$A$6:A39,"&lt;&gt;"))</x:f>
      </x:c>
      <x:c r="O39" t="str">
        <x:f>IF(A39="","",IF(F39&lt;&gt;"Hecho","Pendiente",IF(AND(J39&lt;&gt;"",ISNUMBER(K39),L39="Aprobada"),"Verificado","Falta evidencia o revisión")))</x:f>
      </x:c>
    </x:row>
    <x:row r="40">
      <x:c r="E40" s="13"/>
      <x:c r="F40" s="13"/>
      <x:c r="H40" s="17"/>
      <x:c r="J40" s="13"/>
      <x:c r="K40" s="15"/>
      <x:c r="L40" s="13"/>
      <x:c r="M40" s="15"/>
      <x:c r="N40" t="str">
        <x:f>IF(A40="","",F40&amp;"_"&amp;COUNTIFS($F$6:F40,F40,$A$6:A40,"&lt;&gt;"))</x:f>
      </x:c>
      <x:c r="O40" t="str">
        <x:f>IF(A40="","",IF(F40&lt;&gt;"Hecho","Pendiente",IF(AND(J40&lt;&gt;"",ISNUMBER(K40),L40="Aprobada"),"Verificado","Falta evidencia o revisión")))</x:f>
      </x:c>
    </x:row>
    <x:row r="41">
      <x:c r="E41" s="13"/>
      <x:c r="F41" s="13"/>
      <x:c r="H41" s="17"/>
      <x:c r="J41" s="13"/>
      <x:c r="K41" s="15"/>
      <x:c r="L41" s="13"/>
      <x:c r="M41" s="15"/>
      <x:c r="N41" t="str">
        <x:f>IF(A41="","",F41&amp;"_"&amp;COUNTIFS($F$6:F41,F41,$A$6:A41,"&lt;&gt;"))</x:f>
      </x:c>
      <x:c r="O41" t="str">
        <x:f>IF(A41="","",IF(F41&lt;&gt;"Hecho","Pendiente",IF(AND(J41&lt;&gt;"",ISNUMBER(K41),L41="Aprobada"),"Verificado","Falta evidencia o revisión")))</x:f>
      </x:c>
    </x:row>
    <x:row r="42">
      <x:c r="E42" s="13"/>
      <x:c r="F42" s="13"/>
      <x:c r="H42" s="17"/>
      <x:c r="J42" s="13"/>
      <x:c r="K42" s="15"/>
      <x:c r="L42" s="13"/>
      <x:c r="M42" s="15"/>
      <x:c r="N42" t="str">
        <x:f>IF(A42="","",F42&amp;"_"&amp;COUNTIFS($F$6:F42,F42,$A$6:A42,"&lt;&gt;"))</x:f>
      </x:c>
      <x:c r="O42" t="str">
        <x:f>IF(A42="","",IF(F42&lt;&gt;"Hecho","Pendiente",IF(AND(J42&lt;&gt;"",ISNUMBER(K42),L42="Aprobada"),"Verificado","Falta evidencia o revisión")))</x:f>
      </x:c>
    </x:row>
    <x:row r="43">
      <x:c r="E43" s="13"/>
      <x:c r="F43" s="13"/>
      <x:c r="H43" s="17"/>
      <x:c r="J43" s="13"/>
      <x:c r="K43" s="15"/>
      <x:c r="L43" s="13"/>
      <x:c r="M43" s="15"/>
      <x:c r="N43" t="str">
        <x:f>IF(A43="","",F43&amp;"_"&amp;COUNTIFS($F$6:F43,F43,$A$6:A43,"&lt;&gt;"))</x:f>
      </x:c>
      <x:c r="O43" t="str">
        <x:f>IF(A43="","",IF(F43&lt;&gt;"Hecho","Pendiente",IF(AND(J43&lt;&gt;"",ISNUMBER(K43),L43="Aprobada"),"Verificado","Falta evidencia o revisión")))</x:f>
      </x:c>
    </x:row>
    <x:row r="44">
      <x:c r="E44" s="13"/>
      <x:c r="F44" s="13"/>
      <x:c r="H44" s="17"/>
      <x:c r="J44" s="13"/>
      <x:c r="K44" s="15"/>
      <x:c r="L44" s="13"/>
      <x:c r="M44" s="15"/>
      <x:c r="N44" t="str">
        <x:f>IF(A44="","",F44&amp;"_"&amp;COUNTIFS($F$6:F44,F44,$A$6:A44,"&lt;&gt;"))</x:f>
      </x:c>
      <x:c r="O44" t="str">
        <x:f>IF(A44="","",IF(F44&lt;&gt;"Hecho","Pendiente",IF(AND(J44&lt;&gt;"",ISNUMBER(K44),L44="Aprobada"),"Verificado","Falta evidencia o revisión")))</x:f>
      </x:c>
    </x:row>
    <x:row r="45">
      <x:c r="E45" s="13"/>
      <x:c r="F45" s="13"/>
      <x:c r="H45" s="17"/>
      <x:c r="J45" s="13"/>
      <x:c r="K45" s="15"/>
      <x:c r="L45" s="13"/>
      <x:c r="M45" s="15"/>
      <x:c r="N45" t="str">
        <x:f>IF(A45="","",F45&amp;"_"&amp;COUNTIFS($F$6:F45,F45,$A$6:A45,"&lt;&gt;"))</x:f>
      </x:c>
      <x:c r="O45" t="str">
        <x:f>IF(A45="","",IF(F45&lt;&gt;"Hecho","Pendiente",IF(AND(J45&lt;&gt;"",ISNUMBER(K45),L45="Aprobada"),"Verificado","Falta evidencia o revisión")))</x:f>
      </x:c>
    </x:row>
    <x:row r="46">
      <x:c r="E46" s="13"/>
      <x:c r="F46" s="13"/>
      <x:c r="H46" s="17"/>
      <x:c r="J46" s="13"/>
      <x:c r="K46" s="15"/>
      <x:c r="L46" s="13"/>
      <x:c r="M46" s="15"/>
      <x:c r="N46" t="str">
        <x:f>IF(A46="","",F46&amp;"_"&amp;COUNTIFS($F$6:F46,F46,$A$6:A46,"&lt;&gt;"))</x:f>
      </x:c>
      <x:c r="O46" t="str">
        <x:f>IF(A46="","",IF(F46&lt;&gt;"Hecho","Pendiente",IF(AND(J46&lt;&gt;"",ISNUMBER(K46),L46="Aprobada"),"Verificado","Falta evidencia o revisión")))</x:f>
      </x:c>
    </x:row>
    <x:row r="47">
      <x:c r="E47" s="13"/>
      <x:c r="F47" s="13"/>
      <x:c r="H47" s="17"/>
      <x:c r="J47" s="13"/>
      <x:c r="K47" s="15"/>
      <x:c r="L47" s="13"/>
      <x:c r="M47" s="15"/>
      <x:c r="N47" t="str">
        <x:f>IF(A47="","",F47&amp;"_"&amp;COUNTIFS($F$6:F47,F47,$A$6:A47,"&lt;&gt;"))</x:f>
      </x:c>
      <x:c r="O47" t="str">
        <x:f>IF(A47="","",IF(F47&lt;&gt;"Hecho","Pendiente",IF(AND(J47&lt;&gt;"",ISNUMBER(K47),L47="Aprobada"),"Verificado","Falta evidencia o revisión")))</x:f>
      </x:c>
    </x:row>
    <x:row r="48">
      <x:c r="E48" s="13"/>
      <x:c r="F48" s="13"/>
      <x:c r="H48" s="17"/>
      <x:c r="J48" s="13"/>
      <x:c r="K48" s="15"/>
      <x:c r="L48" s="13"/>
      <x:c r="M48" s="15"/>
      <x:c r="N48" t="str">
        <x:f>IF(A48="","",F48&amp;"_"&amp;COUNTIFS($F$6:F48,F48,$A$6:A48,"&lt;&gt;"))</x:f>
      </x:c>
      <x:c r="O48" t="str">
        <x:f>IF(A48="","",IF(F48&lt;&gt;"Hecho","Pendiente",IF(AND(J48&lt;&gt;"",ISNUMBER(K48),L48="Aprobada"),"Verificado","Falta evidencia o revisión")))</x:f>
      </x:c>
    </x:row>
    <x:row r="49">
      <x:c r="E49" s="13"/>
      <x:c r="F49" s="13"/>
      <x:c r="H49" s="17"/>
      <x:c r="J49" s="13"/>
      <x:c r="K49" s="15"/>
      <x:c r="L49" s="13"/>
      <x:c r="M49" s="15"/>
      <x:c r="N49" t="str">
        <x:f>IF(A49="","",F49&amp;"_"&amp;COUNTIFS($F$6:F49,F49,$A$6:A49,"&lt;&gt;"))</x:f>
      </x:c>
      <x:c r="O49" t="str">
        <x:f>IF(A49="","",IF(F49&lt;&gt;"Hecho","Pendiente",IF(AND(J49&lt;&gt;"",ISNUMBER(K49),L49="Aprobada"),"Verificado","Falta evidencia o revisión")))</x:f>
      </x:c>
    </x:row>
    <x:row r="50">
      <x:c r="E50" s="13"/>
      <x:c r="F50" s="13"/>
      <x:c r="H50" s="17"/>
      <x:c r="J50" s="13"/>
      <x:c r="K50" s="15"/>
      <x:c r="L50" s="13"/>
      <x:c r="M50" s="15"/>
      <x:c r="N50" t="str">
        <x:f>IF(A50="","",F50&amp;"_"&amp;COUNTIFS($F$6:F50,F50,$A$6:A50,"&lt;&gt;"))</x:f>
      </x:c>
      <x:c r="O50" t="str">
        <x:f>IF(A50="","",IF(F50&lt;&gt;"Hecho","Pendiente",IF(AND(J50&lt;&gt;"",ISNUMBER(K50),L50="Aprobada"),"Verificado","Falta evidencia o revisión")))</x:f>
      </x:c>
    </x:row>
    <x:row r="51">
      <x:c r="E51" s="13"/>
      <x:c r="F51" s="13"/>
      <x:c r="H51" s="17"/>
      <x:c r="J51" s="13"/>
      <x:c r="K51" s="15"/>
      <x:c r="L51" s="13"/>
      <x:c r="M51" s="15"/>
      <x:c r="N51" t="str">
        <x:f>IF(A51="","",F51&amp;"_"&amp;COUNTIFS($F$6:F51,F51,$A$6:A51,"&lt;&gt;"))</x:f>
      </x:c>
      <x:c r="O51" t="str">
        <x:f>IF(A51="","",IF(F51&lt;&gt;"Hecho","Pendiente",IF(AND(J51&lt;&gt;"",ISNUMBER(K51),L51="Aprobada"),"Verificado","Falta evidencia o revisión")))</x:f>
      </x:c>
    </x:row>
    <x:row r="52">
      <x:c r="E52" s="13"/>
      <x:c r="F52" s="13"/>
      <x:c r="H52" s="17"/>
      <x:c r="J52" s="13"/>
      <x:c r="K52" s="15"/>
      <x:c r="L52" s="13"/>
      <x:c r="M52" s="15"/>
      <x:c r="N52" t="str">
        <x:f>IF(A52="","",F52&amp;"_"&amp;COUNTIFS($F$6:F52,F52,$A$6:A52,"&lt;&gt;"))</x:f>
      </x:c>
      <x:c r="O52" t="str">
        <x:f>IF(A52="","",IF(F52&lt;&gt;"Hecho","Pendiente",IF(AND(J52&lt;&gt;"",ISNUMBER(K52),L52="Aprobada"),"Verificado","Falta evidencia o revisión")))</x:f>
      </x:c>
    </x:row>
    <x:row r="53">
      <x:c r="E53" s="13"/>
      <x:c r="F53" s="13"/>
      <x:c r="H53" s="17"/>
      <x:c r="J53" s="13"/>
      <x:c r="K53" s="15"/>
      <x:c r="L53" s="13"/>
      <x:c r="M53" s="15"/>
      <x:c r="N53" t="str">
        <x:f>IF(A53="","",F53&amp;"_"&amp;COUNTIFS($F$6:F53,F53,$A$6:A53,"&lt;&gt;"))</x:f>
      </x:c>
      <x:c r="O53" t="str">
        <x:f>IF(A53="","",IF(F53&lt;&gt;"Hecho","Pendiente",IF(AND(J53&lt;&gt;"",ISNUMBER(K53),L53="Aprobada"),"Verificado","Falta evidencia o revisión")))</x:f>
      </x:c>
    </x:row>
    <x:row r="54">
      <x:c r="E54" s="13"/>
      <x:c r="F54" s="13"/>
      <x:c r="H54" s="17"/>
      <x:c r="J54" s="13"/>
      <x:c r="K54" s="15"/>
      <x:c r="L54" s="13"/>
      <x:c r="M54" s="15"/>
      <x:c r="N54" t="str">
        <x:f>IF(A54="","",F54&amp;"_"&amp;COUNTIFS($F$6:F54,F54,$A$6:A54,"&lt;&gt;"))</x:f>
      </x:c>
      <x:c r="O54" t="str">
        <x:f>IF(A54="","",IF(F54&lt;&gt;"Hecho","Pendiente",IF(AND(J54&lt;&gt;"",ISNUMBER(K54),L54="Aprobada"),"Verificado","Falta evidencia o revisión")))</x:f>
      </x:c>
    </x:row>
    <x:row r="55">
      <x:c r="E55" s="13"/>
      <x:c r="F55" s="13"/>
      <x:c r="H55" s="17"/>
      <x:c r="J55" s="13"/>
      <x:c r="K55" s="15"/>
      <x:c r="L55" s="13"/>
      <x:c r="M55" s="15"/>
      <x:c r="N55" t="str">
        <x:f>IF(A55="","",F55&amp;"_"&amp;COUNTIFS($F$6:F55,F55,$A$6:A55,"&lt;&gt;"))</x:f>
      </x:c>
      <x:c r="O55" t="str">
        <x:f>IF(A55="","",IF(F55&lt;&gt;"Hecho","Pendiente",IF(AND(J55&lt;&gt;"",ISNUMBER(K55),L55="Aprobada"),"Verificado","Falta evidencia o revisión")))</x:f>
      </x:c>
    </x:row>
    <x:row r="56">
      <x:c r="E56" s="13"/>
      <x:c r="F56" s="13"/>
      <x:c r="H56" s="17"/>
      <x:c r="J56" s="13"/>
      <x:c r="K56" s="15"/>
      <x:c r="L56" s="13"/>
      <x:c r="M56" s="15"/>
      <x:c r="N56" t="str">
        <x:f>IF(A56="","",F56&amp;"_"&amp;COUNTIFS($F$6:F56,F56,$A$6:A56,"&lt;&gt;"))</x:f>
      </x:c>
      <x:c r="O56" t="str">
        <x:f>IF(A56="","",IF(F56&lt;&gt;"Hecho","Pendiente",IF(AND(J56&lt;&gt;"",ISNUMBER(K56),L56="Aprobada"),"Verificado","Falta evidencia o revisión")))</x:f>
      </x:c>
    </x:row>
    <x:row r="57">
      <x:c r="E57" s="13"/>
      <x:c r="F57" s="13"/>
      <x:c r="H57" s="17"/>
      <x:c r="J57" s="13"/>
      <x:c r="K57" s="15"/>
      <x:c r="L57" s="13"/>
      <x:c r="M57" s="15"/>
      <x:c r="N57" t="str">
        <x:f>IF(A57="","",F57&amp;"_"&amp;COUNTIFS($F$6:F57,F57,$A$6:A57,"&lt;&gt;"))</x:f>
      </x:c>
      <x:c r="O57" t="str">
        <x:f>IF(A57="","",IF(F57&lt;&gt;"Hecho","Pendiente",IF(AND(J57&lt;&gt;"",ISNUMBER(K57),L57="Aprobada"),"Verificado","Falta evidencia o revisión")))</x:f>
      </x:c>
    </x:row>
    <x:row r="58">
      <x:c r="E58" s="13"/>
      <x:c r="F58" s="13"/>
      <x:c r="H58" s="17"/>
      <x:c r="J58" s="13"/>
      <x:c r="K58" s="15"/>
      <x:c r="L58" s="13"/>
      <x:c r="M58" s="15"/>
      <x:c r="N58" t="str">
        <x:f>IF(A58="","",F58&amp;"_"&amp;COUNTIFS($F$6:F58,F58,$A$6:A58,"&lt;&gt;"))</x:f>
      </x:c>
      <x:c r="O58" t="str">
        <x:f>IF(A58="","",IF(F58&lt;&gt;"Hecho","Pendiente",IF(AND(J58&lt;&gt;"",ISNUMBER(K58),L58="Aprobada"),"Verificado","Falta evidencia o revisión")))</x:f>
      </x:c>
    </x:row>
    <x:row r="59">
      <x:c r="E59" s="13"/>
      <x:c r="F59" s="13"/>
      <x:c r="H59" s="17"/>
      <x:c r="J59" s="13"/>
      <x:c r="K59" s="15"/>
      <x:c r="L59" s="13"/>
      <x:c r="M59" s="15"/>
      <x:c r="N59" t="str">
        <x:f>IF(A59="","",F59&amp;"_"&amp;COUNTIFS($F$6:F59,F59,$A$6:A59,"&lt;&gt;"))</x:f>
      </x:c>
      <x:c r="O59" t="str">
        <x:f>IF(A59="","",IF(F59&lt;&gt;"Hecho","Pendiente",IF(AND(J59&lt;&gt;"",ISNUMBER(K59),L59="Aprobada"),"Verificado","Falta evidencia o revisión")))</x:f>
      </x:c>
    </x:row>
    <x:row r="60">
      <x:c r="E60" s="13"/>
      <x:c r="F60" s="13"/>
      <x:c r="H60" s="17"/>
      <x:c r="J60" s="13"/>
      <x:c r="K60" s="15"/>
      <x:c r="L60" s="13"/>
      <x:c r="M60" s="15"/>
      <x:c r="N60" t="str">
        <x:f>IF(A60="","",F60&amp;"_"&amp;COUNTIFS($F$6:F60,F60,$A$6:A60,"&lt;&gt;"))</x:f>
      </x:c>
      <x:c r="O60" t="str">
        <x:f>IF(A60="","",IF(F60&lt;&gt;"Hecho","Pendiente",IF(AND(J60&lt;&gt;"",ISNUMBER(K60),L60="Aprobada"),"Verificado","Falta evidencia o revisión")))</x:f>
      </x:c>
    </x:row>
    <x:row r="61">
      <x:c r="E61" s="13"/>
      <x:c r="F61" s="13"/>
      <x:c r="H61" s="17"/>
      <x:c r="J61" s="13"/>
      <x:c r="K61" s="15"/>
      <x:c r="L61" s="13"/>
      <x:c r="M61" s="15"/>
      <x:c r="N61" t="str">
        <x:f>IF(A61="","",F61&amp;"_"&amp;COUNTIFS($F$6:F61,F61,$A$6:A61,"&lt;&gt;"))</x:f>
      </x:c>
      <x:c r="O61" t="str">
        <x:f>IF(A61="","",IF(F61&lt;&gt;"Hecho","Pendiente",IF(AND(J61&lt;&gt;"",ISNUMBER(K61),L61="Aprobada"),"Verificado","Falta evidencia o revisión")))</x:f>
      </x:c>
    </x:row>
    <x:row r="62">
      <x:c r="E62" s="13"/>
      <x:c r="F62" s="13"/>
      <x:c r="H62" s="17"/>
      <x:c r="J62" s="13"/>
      <x:c r="K62" s="15"/>
      <x:c r="L62" s="13"/>
      <x:c r="M62" s="15"/>
      <x:c r="N62" t="str">
        <x:f>IF(A62="","",F62&amp;"_"&amp;COUNTIFS($F$6:F62,F62,$A$6:A62,"&lt;&gt;"))</x:f>
      </x:c>
      <x:c r="O62" t="str">
        <x:f>IF(A62="","",IF(F62&lt;&gt;"Hecho","Pendiente",IF(AND(J62&lt;&gt;"",ISNUMBER(K62),L62="Aprobada"),"Verificado","Falta evidencia o revisión")))</x:f>
      </x:c>
    </x:row>
    <x:row r="63">
      <x:c r="E63" s="13"/>
      <x:c r="F63" s="13"/>
      <x:c r="H63" s="17"/>
      <x:c r="J63" s="13"/>
      <x:c r="K63" s="15"/>
      <x:c r="L63" s="13"/>
      <x:c r="M63" s="15"/>
      <x:c r="N63" t="str">
        <x:f>IF(A63="","",F63&amp;"_"&amp;COUNTIFS($F$6:F63,F63,$A$6:A63,"&lt;&gt;"))</x:f>
      </x:c>
      <x:c r="O63" t="str">
        <x:f>IF(A63="","",IF(F63&lt;&gt;"Hecho","Pendiente",IF(AND(J63&lt;&gt;"",ISNUMBER(K63),L63="Aprobada"),"Verificado","Falta evidencia o revisión")))</x:f>
      </x:c>
    </x:row>
    <x:row r="64">
      <x:c r="E64" s="13"/>
      <x:c r="F64" s="13"/>
      <x:c r="H64" s="17"/>
      <x:c r="J64" s="13"/>
      <x:c r="K64" s="15"/>
      <x:c r="L64" s="13"/>
      <x:c r="M64" s="15"/>
      <x:c r="N64" t="str">
        <x:f>IF(A64="","",F64&amp;"_"&amp;COUNTIFS($F$6:F64,F64,$A$6:A64,"&lt;&gt;"))</x:f>
      </x:c>
      <x:c r="O64" t="str">
        <x:f>IF(A64="","",IF(F64&lt;&gt;"Hecho","Pendiente",IF(AND(J64&lt;&gt;"",ISNUMBER(K64),L64="Aprobada"),"Verificado","Falta evidencia o revisión")))</x:f>
      </x:c>
    </x:row>
    <x:row r="65">
      <x:c r="E65" s="13"/>
      <x:c r="F65" s="13"/>
      <x:c r="H65" s="17"/>
      <x:c r="J65" s="13"/>
      <x:c r="K65" s="15"/>
      <x:c r="L65" s="13"/>
      <x:c r="M65" s="15"/>
      <x:c r="N65" t="str">
        <x:f>IF(A65="","",F65&amp;"_"&amp;COUNTIFS($F$6:F65,F65,$A$6:A65,"&lt;&gt;"))</x:f>
      </x:c>
      <x:c r="O65" t="str">
        <x:f>IF(A65="","",IF(F65&lt;&gt;"Hecho","Pendiente",IF(AND(J65&lt;&gt;"",ISNUMBER(K65),L65="Aprobada"),"Verificado","Falta evidencia o revisión")))</x:f>
      </x:c>
    </x:row>
    <x:row r="66">
      <x:c r="E66" s="13"/>
      <x:c r="F66" s="13"/>
      <x:c r="H66" s="17"/>
      <x:c r="J66" s="13"/>
      <x:c r="K66" s="15"/>
      <x:c r="L66" s="13"/>
      <x:c r="M66" s="15"/>
      <x:c r="N66" t="str">
        <x:f>IF(A66="","",F66&amp;"_"&amp;COUNTIFS($F$6:F66,F66,$A$6:A66,"&lt;&gt;"))</x:f>
      </x:c>
      <x:c r="O66" t="str">
        <x:f>IF(A66="","",IF(F66&lt;&gt;"Hecho","Pendiente",IF(AND(J66&lt;&gt;"",ISNUMBER(K66),L66="Aprobada"),"Verificado","Falta evidencia o revisión")))</x:f>
      </x:c>
    </x:row>
    <x:row r="67">
      <x:c r="E67" s="13"/>
      <x:c r="F67" s="13"/>
      <x:c r="H67" s="17"/>
      <x:c r="J67" s="13"/>
      <x:c r="K67" s="15"/>
      <x:c r="L67" s="13"/>
      <x:c r="M67" s="15"/>
      <x:c r="N67" t="str">
        <x:f>IF(A67="","",F67&amp;"_"&amp;COUNTIFS($F$6:F67,F67,$A$6:A67,"&lt;&gt;"))</x:f>
      </x:c>
      <x:c r="O67" t="str">
        <x:f>IF(A67="","",IF(F67&lt;&gt;"Hecho","Pendiente",IF(AND(J67&lt;&gt;"",ISNUMBER(K67),L67="Aprobada"),"Verificado","Falta evidencia o revisión")))</x:f>
      </x:c>
    </x:row>
    <x:row r="68">
      <x:c r="E68" s="13"/>
      <x:c r="F68" s="13"/>
      <x:c r="H68" s="17"/>
      <x:c r="J68" s="13"/>
      <x:c r="K68" s="15"/>
      <x:c r="L68" s="13"/>
      <x:c r="M68" s="15"/>
      <x:c r="N68" t="str">
        <x:f>IF(A68="","",F68&amp;"_"&amp;COUNTIFS($F$6:F68,F68,$A$6:A68,"&lt;&gt;"))</x:f>
      </x:c>
      <x:c r="O68" t="str">
        <x:f>IF(A68="","",IF(F68&lt;&gt;"Hecho","Pendiente",IF(AND(J68&lt;&gt;"",ISNUMBER(K68),L68="Aprobada"),"Verificado","Falta evidencia o revisión")))</x:f>
      </x:c>
    </x:row>
    <x:row r="69">
      <x:c r="E69" s="13"/>
      <x:c r="F69" s="13"/>
      <x:c r="H69" s="17"/>
      <x:c r="J69" s="13"/>
      <x:c r="K69" s="15"/>
      <x:c r="L69" s="13"/>
      <x:c r="M69" s="15"/>
      <x:c r="N69" t="str">
        <x:f>IF(A69="","",F69&amp;"_"&amp;COUNTIFS($F$6:F69,F69,$A$6:A69,"&lt;&gt;"))</x:f>
      </x:c>
      <x:c r="O69" t="str">
        <x:f>IF(A69="","",IF(F69&lt;&gt;"Hecho","Pendiente",IF(AND(J69&lt;&gt;"",ISNUMBER(K69),L69="Aprobada"),"Verificado","Falta evidencia o revisión")))</x:f>
      </x:c>
    </x:row>
    <x:row r="70">
      <x:c r="E70" s="13"/>
      <x:c r="F70" s="13"/>
      <x:c r="H70" s="17"/>
      <x:c r="J70" s="13"/>
      <x:c r="K70" s="15"/>
      <x:c r="L70" s="13"/>
      <x:c r="M70" s="15"/>
      <x:c r="N70" t="str">
        <x:f>IF(A70="","",F70&amp;"_"&amp;COUNTIFS($F$6:F70,F70,$A$6:A70,"&lt;&gt;"))</x:f>
      </x:c>
      <x:c r="O70" t="str">
        <x:f>IF(A70="","",IF(F70&lt;&gt;"Hecho","Pendiente",IF(AND(J70&lt;&gt;"",ISNUMBER(K70),L70="Aprobada"),"Verificado","Falta evidencia o revisión")))</x:f>
      </x:c>
    </x:row>
    <x:row r="71">
      <x:c r="E71" s="13"/>
      <x:c r="F71" s="13"/>
      <x:c r="H71" s="17"/>
      <x:c r="J71" s="13"/>
      <x:c r="K71" s="15"/>
      <x:c r="L71" s="13"/>
      <x:c r="M71" s="15"/>
      <x:c r="N71" t="str">
        <x:f>IF(A71="","",F71&amp;"_"&amp;COUNTIFS($F$6:F71,F71,$A$6:A71,"&lt;&gt;"))</x:f>
      </x:c>
      <x:c r="O71" t="str">
        <x:f>IF(A71="","",IF(F71&lt;&gt;"Hecho","Pendiente",IF(AND(J71&lt;&gt;"",ISNUMBER(K71),L71="Aprobada"),"Verificado","Falta evidencia o revisión")))</x:f>
      </x:c>
    </x:row>
    <x:row r="72">
      <x:c r="E72" s="13"/>
      <x:c r="F72" s="13"/>
      <x:c r="H72" s="17"/>
      <x:c r="J72" s="13"/>
      <x:c r="K72" s="15"/>
      <x:c r="L72" s="13"/>
      <x:c r="M72" s="15"/>
      <x:c r="N72" t="str">
        <x:f>IF(A72="","",F72&amp;"_"&amp;COUNTIFS($F$6:F72,F72,$A$6:A72,"&lt;&gt;"))</x:f>
      </x:c>
      <x:c r="O72" t="str">
        <x:f>IF(A72="","",IF(F72&lt;&gt;"Hecho","Pendiente",IF(AND(J72&lt;&gt;"",ISNUMBER(K72),L72="Aprobada"),"Verificado","Falta evidencia o revisión")))</x:f>
      </x:c>
    </x:row>
    <x:row r="73">
      <x:c r="E73" s="13"/>
      <x:c r="F73" s="13"/>
      <x:c r="H73" s="17"/>
      <x:c r="J73" s="13"/>
      <x:c r="K73" s="15"/>
      <x:c r="L73" s="13"/>
      <x:c r="M73" s="15"/>
      <x:c r="N73" t="str">
        <x:f>IF(A73="","",F73&amp;"_"&amp;COUNTIFS($F$6:F73,F73,$A$6:A73,"&lt;&gt;"))</x:f>
      </x:c>
      <x:c r="O73" t="str">
        <x:f>IF(A73="","",IF(F73&lt;&gt;"Hecho","Pendiente",IF(AND(J73&lt;&gt;"",ISNUMBER(K73),L73="Aprobada"),"Verificado","Falta evidencia o revisión")))</x:f>
      </x:c>
    </x:row>
    <x:row r="74">
      <x:c r="E74" s="13"/>
      <x:c r="F74" s="13"/>
      <x:c r="H74" s="17"/>
      <x:c r="J74" s="13"/>
      <x:c r="K74" s="15"/>
      <x:c r="L74" s="13"/>
      <x:c r="M74" s="15"/>
      <x:c r="N74" t="str">
        <x:f>IF(A74="","",F74&amp;"_"&amp;COUNTIFS($F$6:F74,F74,$A$6:A74,"&lt;&gt;"))</x:f>
      </x:c>
      <x:c r="O74" t="str">
        <x:f>IF(A74="","",IF(F74&lt;&gt;"Hecho","Pendiente",IF(AND(J74&lt;&gt;"",ISNUMBER(K74),L74="Aprobada"),"Verificado","Falta evidencia o revisión")))</x:f>
      </x:c>
    </x:row>
    <x:row r="75">
      <x:c r="E75" s="13"/>
      <x:c r="F75" s="13"/>
      <x:c r="H75" s="17"/>
      <x:c r="J75" s="13"/>
      <x:c r="K75" s="15"/>
      <x:c r="L75" s="13"/>
      <x:c r="M75" s="15"/>
      <x:c r="N75" t="str">
        <x:f>IF(A75="","",F75&amp;"_"&amp;COUNTIFS($F$6:F75,F75,$A$6:A75,"&lt;&gt;"))</x:f>
      </x:c>
      <x:c r="O75" t="str">
        <x:f>IF(A75="","",IF(F75&lt;&gt;"Hecho","Pendiente",IF(AND(J75&lt;&gt;"",ISNUMBER(K75),L75="Aprobada"),"Verificado","Falta evidencia o revisión")))</x:f>
      </x:c>
    </x:row>
    <x:row r="76">
      <x:c r="E76" s="13"/>
      <x:c r="F76" s="13"/>
      <x:c r="H76" s="17"/>
      <x:c r="J76" s="13"/>
      <x:c r="K76" s="15"/>
      <x:c r="L76" s="13"/>
      <x:c r="M76" s="15"/>
      <x:c r="N76" t="str">
        <x:f>IF(A76="","",F76&amp;"_"&amp;COUNTIFS($F$6:F76,F76,$A$6:A76,"&lt;&gt;"))</x:f>
      </x:c>
      <x:c r="O76" t="str">
        <x:f>IF(A76="","",IF(F76&lt;&gt;"Hecho","Pendiente",IF(AND(J76&lt;&gt;"",ISNUMBER(K76),L76="Aprobada"),"Verificado","Falta evidencia o revisión")))</x:f>
      </x:c>
    </x:row>
    <x:row r="77">
      <x:c r="E77" s="13"/>
      <x:c r="F77" s="13"/>
      <x:c r="H77" s="17"/>
      <x:c r="J77" s="13"/>
      <x:c r="K77" s="15"/>
      <x:c r="L77" s="13"/>
      <x:c r="M77" s="15"/>
      <x:c r="N77" t="str">
        <x:f>IF(A77="","",F77&amp;"_"&amp;COUNTIFS($F$6:F77,F77,$A$6:A77,"&lt;&gt;"))</x:f>
      </x:c>
      <x:c r="O77" t="str">
        <x:f>IF(A77="","",IF(F77&lt;&gt;"Hecho","Pendiente",IF(AND(J77&lt;&gt;"",ISNUMBER(K77),L77="Aprobada"),"Verificado","Falta evidencia o revisión")))</x:f>
      </x:c>
    </x:row>
    <x:row r="78">
      <x:c r="E78" s="13"/>
      <x:c r="F78" s="13"/>
      <x:c r="H78" s="17"/>
      <x:c r="J78" s="13"/>
      <x:c r="K78" s="15"/>
      <x:c r="L78" s="13"/>
      <x:c r="M78" s="15"/>
      <x:c r="N78" t="str">
        <x:f>IF(A78="","",F78&amp;"_"&amp;COUNTIFS($F$6:F78,F78,$A$6:A78,"&lt;&gt;"))</x:f>
      </x:c>
      <x:c r="O78" t="str">
        <x:f>IF(A78="","",IF(F78&lt;&gt;"Hecho","Pendiente",IF(AND(J78&lt;&gt;"",ISNUMBER(K78),L78="Aprobada"),"Verificado","Falta evidencia o revisión")))</x:f>
      </x:c>
    </x:row>
    <x:row r="79">
      <x:c r="E79" s="13"/>
      <x:c r="F79" s="13"/>
      <x:c r="H79" s="17"/>
      <x:c r="J79" s="13"/>
      <x:c r="K79" s="15"/>
      <x:c r="L79" s="13"/>
      <x:c r="M79" s="15"/>
      <x:c r="N79" t="str">
        <x:f>IF(A79="","",F79&amp;"_"&amp;COUNTIFS($F$6:F79,F79,$A$6:A79,"&lt;&gt;"))</x:f>
      </x:c>
      <x:c r="O79" t="str">
        <x:f>IF(A79="","",IF(F79&lt;&gt;"Hecho","Pendiente",IF(AND(J79&lt;&gt;"",ISNUMBER(K79),L79="Aprobada"),"Verificado","Falta evidencia o revisión")))</x:f>
      </x:c>
    </x:row>
    <x:row r="80">
      <x:c r="E80" s="13"/>
      <x:c r="F80" s="13"/>
      <x:c r="H80" s="17"/>
      <x:c r="J80" s="13"/>
      <x:c r="K80" s="15"/>
      <x:c r="L80" s="13"/>
      <x:c r="M80" s="15"/>
      <x:c r="N80" t="str">
        <x:f>IF(A80="","",F80&amp;"_"&amp;COUNTIFS($F$6:F80,F80,$A$6:A80,"&lt;&gt;"))</x:f>
      </x:c>
      <x:c r="O80" t="str">
        <x:f>IF(A80="","",IF(F80&lt;&gt;"Hecho","Pendiente",IF(AND(J80&lt;&gt;"",ISNUMBER(K80),L80="Aprobada"),"Verificado","Falta evidencia o revisión")))</x:f>
      </x:c>
    </x:row>
    <x:row r="81">
      <x:c r="E81" s="13"/>
      <x:c r="F81" s="13"/>
      <x:c r="H81" s="17"/>
      <x:c r="J81" s="13"/>
      <x:c r="K81" s="15"/>
      <x:c r="L81" s="13"/>
      <x:c r="M81" s="15"/>
      <x:c r="N81" t="str">
        <x:f>IF(A81="","",F81&amp;"_"&amp;COUNTIFS($F$6:F81,F81,$A$6:A81,"&lt;&gt;"))</x:f>
      </x:c>
      <x:c r="O81" t="str">
        <x:f>IF(A81="","",IF(F81&lt;&gt;"Hecho","Pendiente",IF(AND(J81&lt;&gt;"",ISNUMBER(K81),L81="Aprobada"),"Verificado","Falta evidencia o revisión")))</x:f>
      </x:c>
    </x:row>
    <x:row r="82">
      <x:c r="E82" s="13"/>
      <x:c r="F82" s="13"/>
      <x:c r="H82" s="17"/>
      <x:c r="J82" s="13"/>
      <x:c r="K82" s="15"/>
      <x:c r="L82" s="13"/>
      <x:c r="M82" s="15"/>
      <x:c r="N82" t="str">
        <x:f>IF(A82="","",F82&amp;"_"&amp;COUNTIFS($F$6:F82,F82,$A$6:A82,"&lt;&gt;"))</x:f>
      </x:c>
      <x:c r="O82" t="str">
        <x:f>IF(A82="","",IF(F82&lt;&gt;"Hecho","Pendiente",IF(AND(J82&lt;&gt;"",ISNUMBER(K82),L82="Aprobada"),"Verificado","Falta evidencia o revisión")))</x:f>
      </x:c>
    </x:row>
    <x:row r="83">
      <x:c r="E83" s="13"/>
      <x:c r="F83" s="13"/>
      <x:c r="H83" s="17"/>
      <x:c r="J83" s="13"/>
      <x:c r="K83" s="15"/>
      <x:c r="L83" s="13"/>
      <x:c r="M83" s="15"/>
      <x:c r="N83" t="str">
        <x:f>IF(A83="","",F83&amp;"_"&amp;COUNTIFS($F$6:F83,F83,$A$6:A83,"&lt;&gt;"))</x:f>
      </x:c>
      <x:c r="O83" t="str">
        <x:f>IF(A83="","",IF(F83&lt;&gt;"Hecho","Pendiente",IF(AND(J83&lt;&gt;"",ISNUMBER(K83),L83="Aprobada"),"Verificado","Falta evidencia o revisión")))</x:f>
      </x:c>
    </x:row>
    <x:row r="84">
      <x:c r="E84" s="13"/>
      <x:c r="F84" s="13"/>
      <x:c r="H84" s="17"/>
      <x:c r="J84" s="13"/>
      <x:c r="K84" s="15"/>
      <x:c r="L84" s="13"/>
      <x:c r="M84" s="15"/>
      <x:c r="N84" t="str">
        <x:f>IF(A84="","",F84&amp;"_"&amp;COUNTIFS($F$6:F84,F84,$A$6:A84,"&lt;&gt;"))</x:f>
      </x:c>
      <x:c r="O84" t="str">
        <x:f>IF(A84="","",IF(F84&lt;&gt;"Hecho","Pendiente",IF(AND(J84&lt;&gt;"",ISNUMBER(K84),L84="Aprobada"),"Verificado","Falta evidencia o revisión")))</x:f>
      </x:c>
    </x:row>
    <x:row r="85">
      <x:c r="E85" s="13"/>
      <x:c r="F85" s="13"/>
      <x:c r="H85" s="17"/>
      <x:c r="J85" s="13"/>
      <x:c r="K85" s="15"/>
      <x:c r="L85" s="13"/>
      <x:c r="M85" s="15"/>
      <x:c r="N85" t="str">
        <x:f>IF(A85="","",F85&amp;"_"&amp;COUNTIFS($F$6:F85,F85,$A$6:A85,"&lt;&gt;"))</x:f>
      </x:c>
      <x:c r="O85" t="str">
        <x:f>IF(A85="","",IF(F85&lt;&gt;"Hecho","Pendiente",IF(AND(J85&lt;&gt;"",ISNUMBER(K85),L85="Aprobada"),"Verificado","Falta evidencia o revisión")))</x:f>
      </x:c>
    </x:row>
    <x:row r="86">
      <x:c r="E86" s="13"/>
      <x:c r="F86" s="13"/>
      <x:c r="H86" s="17"/>
      <x:c r="J86" s="13"/>
      <x:c r="K86" s="15"/>
      <x:c r="L86" s="13"/>
      <x:c r="M86" s="15"/>
      <x:c r="N86" t="str">
        <x:f>IF(A86="","",F86&amp;"_"&amp;COUNTIFS($F$6:F86,F86,$A$6:A86,"&lt;&gt;"))</x:f>
      </x:c>
      <x:c r="O86" t="str">
        <x:f>IF(A86="","",IF(F86&lt;&gt;"Hecho","Pendiente",IF(AND(J86&lt;&gt;"",ISNUMBER(K86),L86="Aprobada"),"Verificado","Falta evidencia o revisión")))</x:f>
      </x:c>
    </x:row>
    <x:row r="87">
      <x:c r="E87" s="13"/>
      <x:c r="F87" s="13"/>
      <x:c r="H87" s="17"/>
      <x:c r="J87" s="13"/>
      <x:c r="K87" s="15"/>
      <x:c r="L87" s="13"/>
      <x:c r="M87" s="15"/>
      <x:c r="N87" t="str">
        <x:f>IF(A87="","",F87&amp;"_"&amp;COUNTIFS($F$6:F87,F87,$A$6:A87,"&lt;&gt;"))</x:f>
      </x:c>
      <x:c r="O87" t="str">
        <x:f>IF(A87="","",IF(F87&lt;&gt;"Hecho","Pendiente",IF(AND(J87&lt;&gt;"",ISNUMBER(K87),L87="Aprobada"),"Verificado","Falta evidencia o revisión")))</x:f>
      </x:c>
    </x:row>
    <x:row r="88">
      <x:c r="E88" s="13"/>
      <x:c r="F88" s="13"/>
      <x:c r="H88" s="17"/>
      <x:c r="J88" s="13"/>
      <x:c r="K88" s="15"/>
      <x:c r="L88" s="13"/>
      <x:c r="M88" s="15"/>
      <x:c r="N88" t="str">
        <x:f>IF(A88="","",F88&amp;"_"&amp;COUNTIFS($F$6:F88,F88,$A$6:A88,"&lt;&gt;"))</x:f>
      </x:c>
      <x:c r="O88" t="str">
        <x:f>IF(A88="","",IF(F88&lt;&gt;"Hecho","Pendiente",IF(AND(J88&lt;&gt;"",ISNUMBER(K88),L88="Aprobada"),"Verificado","Falta evidencia o revisión")))</x:f>
      </x:c>
    </x:row>
    <x:row r="89">
      <x:c r="E89" s="13"/>
      <x:c r="F89" s="13"/>
      <x:c r="H89" s="17"/>
      <x:c r="J89" s="13"/>
      <x:c r="K89" s="15"/>
      <x:c r="L89" s="13"/>
      <x:c r="M89" s="15"/>
      <x:c r="N89" t="str">
        <x:f>IF(A89="","",F89&amp;"_"&amp;COUNTIFS($F$6:F89,F89,$A$6:A89,"&lt;&gt;"))</x:f>
      </x:c>
      <x:c r="O89" t="str">
        <x:f>IF(A89="","",IF(F89&lt;&gt;"Hecho","Pendiente",IF(AND(J89&lt;&gt;"",ISNUMBER(K89),L89="Aprobada"),"Verificado","Falta evidencia o revisión")))</x:f>
      </x:c>
    </x:row>
    <x:row r="90">
      <x:c r="E90" s="13"/>
      <x:c r="F90" s="13"/>
      <x:c r="H90" s="17"/>
      <x:c r="J90" s="13"/>
      <x:c r="K90" s="15"/>
      <x:c r="L90" s="13"/>
      <x:c r="M90" s="15"/>
      <x:c r="N90" t="str">
        <x:f>IF(A90="","",F90&amp;"_"&amp;COUNTIFS($F$6:F90,F90,$A$6:A90,"&lt;&gt;"))</x:f>
      </x:c>
      <x:c r="O90" t="str">
        <x:f>IF(A90="","",IF(F90&lt;&gt;"Hecho","Pendiente",IF(AND(J90&lt;&gt;"",ISNUMBER(K90),L90="Aprobada"),"Verificado","Falta evidencia o revisión")))</x:f>
      </x:c>
    </x:row>
    <x:row r="91">
      <x:c r="E91" s="13"/>
      <x:c r="F91" s="13"/>
      <x:c r="H91" s="17"/>
      <x:c r="J91" s="13"/>
      <x:c r="K91" s="15"/>
      <x:c r="L91" s="13"/>
      <x:c r="M91" s="15"/>
      <x:c r="N91" t="str">
        <x:f>IF(A91="","",F91&amp;"_"&amp;COUNTIFS($F$6:F91,F91,$A$6:A91,"&lt;&gt;"))</x:f>
      </x:c>
      <x:c r="O91" t="str">
        <x:f>IF(A91="","",IF(F91&lt;&gt;"Hecho","Pendiente",IF(AND(J91&lt;&gt;"",ISNUMBER(K91),L91="Aprobada"),"Verificado","Falta evidencia o revisión")))</x:f>
      </x:c>
    </x:row>
    <x:row r="92">
      <x:c r="E92" s="13"/>
      <x:c r="F92" s="13"/>
      <x:c r="H92" s="17"/>
      <x:c r="J92" s="13"/>
      <x:c r="K92" s="15"/>
      <x:c r="L92" s="13"/>
      <x:c r="M92" s="15"/>
      <x:c r="N92" t="str">
        <x:f>IF(A92="","",F92&amp;"_"&amp;COUNTIFS($F$6:F92,F92,$A$6:A92,"&lt;&gt;"))</x:f>
      </x:c>
      <x:c r="O92" t="str">
        <x:f>IF(A92="","",IF(F92&lt;&gt;"Hecho","Pendiente",IF(AND(J92&lt;&gt;"",ISNUMBER(K92),L92="Aprobada"),"Verificado","Falta evidencia o revisión")))</x:f>
      </x:c>
    </x:row>
    <x:row r="93">
      <x:c r="E93" s="13"/>
      <x:c r="F93" s="13"/>
      <x:c r="H93" s="17"/>
      <x:c r="J93" s="13"/>
      <x:c r="K93" s="15"/>
      <x:c r="L93" s="13"/>
      <x:c r="M93" s="15"/>
      <x:c r="N93" t="str">
        <x:f>IF(A93="","",F93&amp;"_"&amp;COUNTIFS($F$6:F93,F93,$A$6:A93,"&lt;&gt;"))</x:f>
      </x:c>
      <x:c r="O93" t="str">
        <x:f>IF(A93="","",IF(F93&lt;&gt;"Hecho","Pendiente",IF(AND(J93&lt;&gt;"",ISNUMBER(K93),L93="Aprobada"),"Verificado","Falta evidencia o revisión")))</x:f>
      </x:c>
    </x:row>
    <x:row r="94">
      <x:c r="E94" s="13"/>
      <x:c r="F94" s="13"/>
      <x:c r="H94" s="17"/>
      <x:c r="J94" s="13"/>
      <x:c r="K94" s="15"/>
      <x:c r="L94" s="13"/>
      <x:c r="M94" s="15"/>
      <x:c r="N94" t="str">
        <x:f>IF(A94="","",F94&amp;"_"&amp;COUNTIFS($F$6:F94,F94,$A$6:A94,"&lt;&gt;"))</x:f>
      </x:c>
      <x:c r="O94" t="str">
        <x:f>IF(A94="","",IF(F94&lt;&gt;"Hecho","Pendiente",IF(AND(J94&lt;&gt;"",ISNUMBER(K94),L94="Aprobada"),"Verificado","Falta evidencia o revisión")))</x:f>
      </x:c>
    </x:row>
    <x:row r="95">
      <x:c r="E95" s="13"/>
      <x:c r="F95" s="13"/>
      <x:c r="H95" s="17"/>
      <x:c r="J95" s="13"/>
      <x:c r="K95" s="15"/>
      <x:c r="L95" s="13"/>
      <x:c r="M95" s="15"/>
      <x:c r="N95" t="str">
        <x:f>IF(A95="","",F95&amp;"_"&amp;COUNTIFS($F$6:F95,F95,$A$6:A95,"&lt;&gt;"))</x:f>
      </x:c>
      <x:c r="O95" t="str">
        <x:f>IF(A95="","",IF(F95&lt;&gt;"Hecho","Pendiente",IF(AND(J95&lt;&gt;"",ISNUMBER(K95),L95="Aprobada"),"Verificado","Falta evidencia o revisión")))</x:f>
      </x:c>
    </x:row>
    <x:row r="96">
      <x:c r="E96" s="13"/>
      <x:c r="F96" s="13"/>
      <x:c r="H96" s="17"/>
      <x:c r="J96" s="13"/>
      <x:c r="K96" s="15"/>
      <x:c r="L96" s="13"/>
      <x:c r="M96" s="15"/>
      <x:c r="N96" t="str">
        <x:f>IF(A96="","",F96&amp;"_"&amp;COUNTIFS($F$6:F96,F96,$A$6:A96,"&lt;&gt;"))</x:f>
      </x:c>
      <x:c r="O96" t="str">
        <x:f>IF(A96="","",IF(F96&lt;&gt;"Hecho","Pendiente",IF(AND(J96&lt;&gt;"",ISNUMBER(K96),L96="Aprobada"),"Verificado","Falta evidencia o revisión")))</x:f>
      </x:c>
    </x:row>
    <x:row r="97">
      <x:c r="E97" s="13"/>
      <x:c r="F97" s="13"/>
      <x:c r="H97" s="17"/>
      <x:c r="J97" s="13"/>
      <x:c r="K97" s="15"/>
      <x:c r="L97" s="13"/>
      <x:c r="M97" s="15"/>
      <x:c r="N97" t="str">
        <x:f>IF(A97="","",F97&amp;"_"&amp;COUNTIFS($F$6:F97,F97,$A$6:A97,"&lt;&gt;"))</x:f>
      </x:c>
      <x:c r="O97" t="str">
        <x:f>IF(A97="","",IF(F97&lt;&gt;"Hecho","Pendiente",IF(AND(J97&lt;&gt;"",ISNUMBER(K97),L97="Aprobada"),"Verificado","Falta evidencia o revisión")))</x:f>
      </x:c>
    </x:row>
    <x:row r="98">
      <x:c r="E98" s="13"/>
      <x:c r="F98" s="13"/>
      <x:c r="H98" s="17"/>
      <x:c r="J98" s="13"/>
      <x:c r="K98" s="15"/>
      <x:c r="L98" s="13"/>
      <x:c r="M98" s="15"/>
      <x:c r="N98" t="str">
        <x:f>IF(A98="","",F98&amp;"_"&amp;COUNTIFS($F$6:F98,F98,$A$6:A98,"&lt;&gt;"))</x:f>
      </x:c>
      <x:c r="O98" t="str">
        <x:f>IF(A98="","",IF(F98&lt;&gt;"Hecho","Pendiente",IF(AND(J98&lt;&gt;"",ISNUMBER(K98),L98="Aprobada"),"Verificado","Falta evidencia o revisión")))</x:f>
      </x:c>
    </x:row>
    <x:row r="99">
      <x:c r="E99" s="13"/>
      <x:c r="F99" s="13"/>
      <x:c r="H99" s="17"/>
      <x:c r="J99" s="13"/>
      <x:c r="K99" s="15"/>
      <x:c r="L99" s="13"/>
      <x:c r="M99" s="15"/>
      <x:c r="N99" t="str">
        <x:f>IF(A99="","",F99&amp;"_"&amp;COUNTIFS($F$6:F99,F99,$A$6:A99,"&lt;&gt;"))</x:f>
      </x:c>
      <x:c r="O99" t="str">
        <x:f>IF(A99="","",IF(F99&lt;&gt;"Hecho","Pendiente",IF(AND(J99&lt;&gt;"",ISNUMBER(K99),L99="Aprobada"),"Verificado","Falta evidencia o revisión")))</x:f>
      </x:c>
    </x:row>
    <x:row r="100">
      <x:c r="E100" s="13"/>
      <x:c r="F100" s="13"/>
      <x:c r="H100" s="17"/>
      <x:c r="J100" s="13"/>
      <x:c r="K100" s="15"/>
      <x:c r="L100" s="13"/>
      <x:c r="M100" s="15"/>
      <x:c r="N100" t="str">
        <x:f>IF(A100="","",F100&amp;"_"&amp;COUNTIFS($F$6:F100,F100,$A$6:A100,"&lt;&gt;"))</x:f>
      </x:c>
      <x:c r="O100" t="str">
        <x:f>IF(A100="","",IF(F100&lt;&gt;"Hecho","Pendiente",IF(AND(J100&lt;&gt;"",ISNUMBER(K100),L100="Aprobada"),"Verificado","Falta evidencia o revisión")))</x:f>
      </x:c>
    </x:row>
    <x:row r="101">
      <x:c r="E101" s="13"/>
      <x:c r="F101" s="13"/>
      <x:c r="H101" s="17"/>
      <x:c r="J101" s="13"/>
      <x:c r="K101" s="15"/>
      <x:c r="L101" s="13"/>
      <x:c r="M101" s="15"/>
      <x:c r="N101" t="str">
        <x:f>IF(A101="","",F101&amp;"_"&amp;COUNTIFS($F$6:F101,F101,$A$6:A101,"&lt;&gt;"))</x:f>
      </x:c>
      <x:c r="O101" t="str">
        <x:f>IF(A101="","",IF(F101&lt;&gt;"Hecho","Pendiente",IF(AND(J101&lt;&gt;"",ISNUMBER(K101),L101="Aprobada"),"Verificado","Falta evidencia o revisión")))</x:f>
      </x:c>
    </x:row>
    <x:row r="102">
      <x:c r="E102" s="13"/>
      <x:c r="F102" s="13"/>
      <x:c r="H102" s="17"/>
      <x:c r="J102" s="13"/>
      <x:c r="K102" s="15"/>
      <x:c r="L102" s="13"/>
      <x:c r="M102" s="15"/>
      <x:c r="N102" t="str">
        <x:f>IF(A102="","",F102&amp;"_"&amp;COUNTIFS($F$6:F102,F102,$A$6:A102,"&lt;&gt;"))</x:f>
      </x:c>
      <x:c r="O102" t="str">
        <x:f>IF(A102="","",IF(F102&lt;&gt;"Hecho","Pendiente",IF(AND(J102&lt;&gt;"",ISNUMBER(K102),L102="Aprobada"),"Verificado","Falta evidencia o revisión")))</x:f>
      </x:c>
    </x:row>
    <x:row r="103">
      <x:c r="E103" s="13"/>
      <x:c r="F103" s="13"/>
      <x:c r="H103" s="17"/>
      <x:c r="J103" s="13"/>
      <x:c r="K103" s="15"/>
      <x:c r="L103" s="13"/>
      <x:c r="M103" s="15"/>
      <x:c r="N103" t="str">
        <x:f>IF(A103="","",F103&amp;"_"&amp;COUNTIFS($F$6:F103,F103,$A$6:A103,"&lt;&gt;"))</x:f>
      </x:c>
      <x:c r="O103" t="str">
        <x:f>IF(A103="","",IF(F103&lt;&gt;"Hecho","Pendiente",IF(AND(J103&lt;&gt;"",ISNUMBER(K103),L103="Aprobada"),"Verificado","Falta evidencia o revisión")))</x:f>
      </x:c>
    </x:row>
    <x:row r="104">
      <x:c r="E104" s="13"/>
      <x:c r="F104" s="13"/>
      <x:c r="H104" s="17"/>
      <x:c r="J104" s="13"/>
      <x:c r="K104" s="15"/>
      <x:c r="L104" s="13"/>
      <x:c r="M104" s="15"/>
      <x:c r="N104" t="str">
        <x:f>IF(A104="","",F104&amp;"_"&amp;COUNTIFS($F$6:F104,F104,$A$6:A104,"&lt;&gt;"))</x:f>
      </x:c>
      <x:c r="O104" t="str">
        <x:f>IF(A104="","",IF(F104&lt;&gt;"Hecho","Pendiente",IF(AND(J104&lt;&gt;"",ISNUMBER(K104),L104="Aprobada"),"Verificado","Falta evidencia o revisión")))</x:f>
      </x:c>
    </x:row>
    <x:row r="105">
      <x:c r="E105" s="13"/>
      <x:c r="F105" s="13"/>
      <x:c r="H105" s="17"/>
      <x:c r="J105" s="13"/>
      <x:c r="K105" s="15"/>
      <x:c r="L105" s="13"/>
      <x:c r="M105" s="15"/>
      <x:c r="N105" t="str">
        <x:f>IF(A105="","",F105&amp;"_"&amp;COUNTIFS($F$6:F105,F105,$A$6:A105,"&lt;&gt;"))</x:f>
      </x:c>
      <x:c r="O105" t="str">
        <x:f>IF(A105="","",IF(F105&lt;&gt;"Hecho","Pendiente",IF(AND(J105&lt;&gt;"",ISNUMBER(K105),L105="Aprobada"),"Verificado","Falta evidencia o revisión")))</x:f>
      </x:c>
    </x:row>
    <x:row r="106">
      <x:c r="E106" s="13"/>
      <x:c r="F106" s="13"/>
      <x:c r="H106" s="17"/>
      <x:c r="J106" s="13"/>
      <x:c r="K106" s="15"/>
      <x:c r="L106" s="13"/>
      <x:c r="M106" s="15"/>
      <x:c r="N106" t="str">
        <x:f>IF(A106="","",F106&amp;"_"&amp;COUNTIFS($F$6:F106,F106,$A$6:A106,"&lt;&gt;"))</x:f>
      </x:c>
      <x:c r="O106" t="str">
        <x:f>IF(A106="","",IF(F106&lt;&gt;"Hecho","Pendiente",IF(AND(J106&lt;&gt;"",ISNUMBER(K106),L106="Aprobada"),"Verificado","Falta evidencia o revisión")))</x:f>
      </x:c>
    </x:row>
    <x:row r="107">
      <x:c r="E107" s="13"/>
      <x:c r="F107" s="13"/>
      <x:c r="H107" s="17"/>
      <x:c r="J107" s="13"/>
      <x:c r="K107" s="15"/>
      <x:c r="L107" s="13"/>
      <x:c r="M107" s="15"/>
      <x:c r="N107" t="str">
        <x:f>IF(A107="","",F107&amp;"_"&amp;COUNTIFS($F$6:F107,F107,$A$6:A107,"&lt;&gt;"))</x:f>
      </x:c>
      <x:c r="O107" t="str">
        <x:f>IF(A107="","",IF(F107&lt;&gt;"Hecho","Pendiente",IF(AND(J107&lt;&gt;"",ISNUMBER(K107),L107="Aprobada"),"Verificado","Falta evidencia o revisión")))</x:f>
      </x:c>
    </x:row>
    <x:row r="108">
      <x:c r="E108" s="13"/>
      <x:c r="F108" s="13"/>
      <x:c r="H108" s="17"/>
      <x:c r="J108" s="13"/>
      <x:c r="K108" s="15"/>
      <x:c r="L108" s="13"/>
      <x:c r="M108" s="15"/>
      <x:c r="N108" t="str">
        <x:f>IF(A108="","",F108&amp;"_"&amp;COUNTIFS($F$6:F108,F108,$A$6:A108,"&lt;&gt;"))</x:f>
      </x:c>
      <x:c r="O108" t="str">
        <x:f>IF(A108="","",IF(F108&lt;&gt;"Hecho","Pendiente",IF(AND(J108&lt;&gt;"",ISNUMBER(K108),L108="Aprobada"),"Verificado","Falta evidencia o revisión")))</x:f>
      </x:c>
    </x:row>
    <x:row r="109">
      <x:c r="E109" s="13"/>
      <x:c r="F109" s="13"/>
      <x:c r="H109" s="17"/>
      <x:c r="J109" s="13"/>
      <x:c r="K109" s="15"/>
      <x:c r="L109" s="13"/>
      <x:c r="M109" s="15"/>
      <x:c r="N109" t="str">
        <x:f>IF(A109="","",F109&amp;"_"&amp;COUNTIFS($F$6:F109,F109,$A$6:A109,"&lt;&gt;"))</x:f>
      </x:c>
      <x:c r="O109" t="str">
        <x:f>IF(A109="","",IF(F109&lt;&gt;"Hecho","Pendiente",IF(AND(J109&lt;&gt;"",ISNUMBER(K109),L109="Aprobada"),"Verificado","Falta evidencia o revisión")))</x:f>
      </x:c>
    </x:row>
    <x:row r="110">
      <x:c r="E110" s="13"/>
      <x:c r="F110" s="13"/>
      <x:c r="H110" s="17"/>
      <x:c r="J110" s="13"/>
      <x:c r="K110" s="15"/>
      <x:c r="L110" s="13"/>
      <x:c r="M110" s="15"/>
      <x:c r="N110" t="str">
        <x:f>IF(A110="","",F110&amp;"_"&amp;COUNTIFS($F$6:F110,F110,$A$6:A110,"&lt;&gt;"))</x:f>
      </x:c>
      <x:c r="O110" t="str">
        <x:f>IF(A110="","",IF(F110&lt;&gt;"Hecho","Pendiente",IF(AND(J110&lt;&gt;"",ISNUMBER(K110),L110="Aprobada"),"Verificado","Falta evidencia o revisión")))</x:f>
      </x:c>
    </x:row>
    <x:row r="111">
      <x:c r="E111" s="13"/>
      <x:c r="F111" s="13"/>
      <x:c r="H111" s="17"/>
      <x:c r="J111" s="13"/>
      <x:c r="K111" s="15"/>
      <x:c r="L111" s="13"/>
      <x:c r="M111" s="15"/>
      <x:c r="N111" t="str">
        <x:f>IF(A111="","",F111&amp;"_"&amp;COUNTIFS($F$6:F111,F111,$A$6:A111,"&lt;&gt;"))</x:f>
      </x:c>
      <x:c r="O111" t="str">
        <x:f>IF(A111="","",IF(F111&lt;&gt;"Hecho","Pendiente",IF(AND(J111&lt;&gt;"",ISNUMBER(K111),L111="Aprobada"),"Verificado","Falta evidencia o revisión")))</x:f>
      </x:c>
    </x:row>
    <x:row r="112">
      <x:c r="E112" s="13"/>
      <x:c r="F112" s="13"/>
      <x:c r="H112" s="17"/>
      <x:c r="J112" s="13"/>
      <x:c r="K112" s="15"/>
      <x:c r="L112" s="13"/>
      <x:c r="M112" s="15"/>
      <x:c r="N112" t="str">
        <x:f>IF(A112="","",F112&amp;"_"&amp;COUNTIFS($F$6:F112,F112,$A$6:A112,"&lt;&gt;"))</x:f>
      </x:c>
      <x:c r="O112" t="str">
        <x:f>IF(A112="","",IF(F112&lt;&gt;"Hecho","Pendiente",IF(AND(J112&lt;&gt;"",ISNUMBER(K112),L112="Aprobada"),"Verificado","Falta evidencia o revisión")))</x:f>
      </x:c>
    </x:row>
    <x:row r="113">
      <x:c r="E113" s="13"/>
      <x:c r="F113" s="13"/>
      <x:c r="H113" s="17"/>
      <x:c r="J113" s="13"/>
      <x:c r="K113" s="15"/>
      <x:c r="L113" s="13"/>
      <x:c r="M113" s="15"/>
      <x:c r="N113" t="str">
        <x:f>IF(A113="","",F113&amp;"_"&amp;COUNTIFS($F$6:F113,F113,$A$6:A113,"&lt;&gt;"))</x:f>
      </x:c>
      <x:c r="O113" t="str">
        <x:f>IF(A113="","",IF(F113&lt;&gt;"Hecho","Pendiente",IF(AND(J113&lt;&gt;"",ISNUMBER(K113),L113="Aprobada"),"Verificado","Falta evidencia o revisión")))</x:f>
      </x:c>
    </x:row>
    <x:row r="114">
      <x:c r="E114" s="13"/>
      <x:c r="F114" s="13"/>
      <x:c r="H114" s="17"/>
      <x:c r="J114" s="13"/>
      <x:c r="K114" s="15"/>
      <x:c r="L114" s="13"/>
      <x:c r="M114" s="15"/>
      <x:c r="N114" t="str">
        <x:f>IF(A114="","",F114&amp;"_"&amp;COUNTIFS($F$6:F114,F114,$A$6:A114,"&lt;&gt;"))</x:f>
      </x:c>
      <x:c r="O114" t="str">
        <x:f>IF(A114="","",IF(F114&lt;&gt;"Hecho","Pendiente",IF(AND(J114&lt;&gt;"",ISNUMBER(K114),L114="Aprobada"),"Verificado","Falta evidencia o revisión")))</x:f>
      </x:c>
    </x:row>
    <x:row r="115">
      <x:c r="E115" s="13"/>
      <x:c r="F115" s="13"/>
      <x:c r="H115" s="17"/>
      <x:c r="J115" s="13"/>
      <x:c r="K115" s="15"/>
      <x:c r="L115" s="13"/>
      <x:c r="M115" s="15"/>
      <x:c r="N115" t="str">
        <x:f>IF(A115="","",F115&amp;"_"&amp;COUNTIFS($F$6:F115,F115,$A$6:A115,"&lt;&gt;"))</x:f>
      </x:c>
      <x:c r="O115" t="str">
        <x:f>IF(A115="","",IF(F115&lt;&gt;"Hecho","Pendiente",IF(AND(J115&lt;&gt;"",ISNUMBER(K115),L115="Aprobada"),"Verificado","Falta evidencia o revisión")))</x:f>
      </x:c>
    </x:row>
    <x:row r="116">
      <x:c r="E116" s="13"/>
      <x:c r="F116" s="13"/>
      <x:c r="H116" s="17"/>
      <x:c r="J116" s="13"/>
      <x:c r="K116" s="15"/>
      <x:c r="L116" s="13"/>
      <x:c r="M116" s="15"/>
      <x:c r="N116" t="str">
        <x:f>IF(A116="","",F116&amp;"_"&amp;COUNTIFS($F$6:F116,F116,$A$6:A116,"&lt;&gt;"))</x:f>
      </x:c>
      <x:c r="O116" t="str">
        <x:f>IF(A116="","",IF(F116&lt;&gt;"Hecho","Pendiente",IF(AND(J116&lt;&gt;"",ISNUMBER(K116),L116="Aprobada"),"Verificado","Falta evidencia o revisión")))</x:f>
      </x:c>
    </x:row>
    <x:row r="117">
      <x:c r="E117" s="13"/>
      <x:c r="F117" s="13"/>
      <x:c r="H117" s="17"/>
      <x:c r="J117" s="13"/>
      <x:c r="K117" s="15"/>
      <x:c r="L117" s="13"/>
      <x:c r="M117" s="15"/>
      <x:c r="N117" t="str">
        <x:f>IF(A117="","",F117&amp;"_"&amp;COUNTIFS($F$6:F117,F117,$A$6:A117,"&lt;&gt;"))</x:f>
      </x:c>
      <x:c r="O117" t="str">
        <x:f>IF(A117="","",IF(F117&lt;&gt;"Hecho","Pendiente",IF(AND(J117&lt;&gt;"",ISNUMBER(K117),L117="Aprobada"),"Verificado","Falta evidencia o revisión")))</x:f>
      </x:c>
    </x:row>
    <x:row r="118">
      <x:c r="E118" s="13"/>
      <x:c r="F118" s="13"/>
      <x:c r="H118" s="17"/>
      <x:c r="J118" s="13"/>
      <x:c r="K118" s="15"/>
      <x:c r="L118" s="13"/>
      <x:c r="M118" s="15"/>
      <x:c r="N118" t="str">
        <x:f>IF(A118="","",F118&amp;"_"&amp;COUNTIFS($F$6:F118,F118,$A$6:A118,"&lt;&gt;"))</x:f>
      </x:c>
      <x:c r="O118" t="str">
        <x:f>IF(A118="","",IF(F118&lt;&gt;"Hecho","Pendiente",IF(AND(J118&lt;&gt;"",ISNUMBER(K118),L118="Aprobada"),"Verificado","Falta evidencia o revisión")))</x:f>
      </x:c>
    </x:row>
    <x:row r="119">
      <x:c r="E119" s="13"/>
      <x:c r="F119" s="13"/>
      <x:c r="H119" s="17"/>
      <x:c r="J119" s="13"/>
      <x:c r="K119" s="15"/>
      <x:c r="L119" s="13"/>
      <x:c r="M119" s="15"/>
      <x:c r="N119" t="str">
        <x:f>IF(A119="","",F119&amp;"_"&amp;COUNTIFS($F$6:F119,F119,$A$6:A119,"&lt;&gt;"))</x:f>
      </x:c>
      <x:c r="O119" t="str">
        <x:f>IF(A119="","",IF(F119&lt;&gt;"Hecho","Pendiente",IF(AND(J119&lt;&gt;"",ISNUMBER(K119),L119="Aprobada"),"Verificado","Falta evidencia o revisión")))</x:f>
      </x:c>
    </x:row>
    <x:row r="120">
      <x:c r="E120" s="13"/>
      <x:c r="F120" s="13"/>
      <x:c r="H120" s="17"/>
      <x:c r="J120" s="13"/>
      <x:c r="K120" s="15"/>
      <x:c r="L120" s="13"/>
      <x:c r="M120" s="15"/>
      <x:c r="N120" t="str">
        <x:f>IF(A120="","",F120&amp;"_"&amp;COUNTIFS($F$6:F120,F120,$A$6:A120,"&lt;&gt;"))</x:f>
      </x:c>
      <x:c r="O120" t="str">
        <x:f>IF(A120="","",IF(F120&lt;&gt;"Hecho","Pendiente",IF(AND(J120&lt;&gt;"",ISNUMBER(K120),L120="Aprobada"),"Verificado","Falta evidencia o revisión")))</x:f>
      </x:c>
    </x:row>
    <x:row r="121">
      <x:c r="E121" s="13"/>
      <x:c r="F121" s="13"/>
      <x:c r="H121" s="17"/>
      <x:c r="J121" s="13"/>
      <x:c r="K121" s="15"/>
      <x:c r="L121" s="13"/>
      <x:c r="M121" s="15"/>
      <x:c r="N121" t="str">
        <x:f>IF(A121="","",F121&amp;"_"&amp;COUNTIFS($F$6:F121,F121,$A$6:A121,"&lt;&gt;"))</x:f>
      </x:c>
      <x:c r="O121" t="str">
        <x:f>IF(A121="","",IF(F121&lt;&gt;"Hecho","Pendiente",IF(AND(J121&lt;&gt;"",ISNUMBER(K121),L121="Aprobada"),"Verificado","Falta evidencia o revisión")))</x:f>
      </x:c>
    </x:row>
    <x:row r="122">
      <x:c r="E122" s="13"/>
      <x:c r="F122" s="13"/>
      <x:c r="H122" s="17"/>
      <x:c r="J122" s="13"/>
      <x:c r="K122" s="15"/>
      <x:c r="L122" s="13"/>
      <x:c r="M122" s="15"/>
      <x:c r="N122" t="str">
        <x:f>IF(A122="","",F122&amp;"_"&amp;COUNTIFS($F$6:F122,F122,$A$6:A122,"&lt;&gt;"))</x:f>
      </x:c>
      <x:c r="O122" t="str">
        <x:f>IF(A122="","",IF(F122&lt;&gt;"Hecho","Pendiente",IF(AND(J122&lt;&gt;"",ISNUMBER(K122),L122="Aprobada"),"Verificado","Falta evidencia o revisión")))</x:f>
      </x:c>
    </x:row>
    <x:row r="123">
      <x:c r="E123" s="13"/>
      <x:c r="F123" s="13"/>
      <x:c r="H123" s="17"/>
      <x:c r="J123" s="13"/>
      <x:c r="K123" s="15"/>
      <x:c r="L123" s="13"/>
      <x:c r="M123" s="15"/>
      <x:c r="N123" t="str">
        <x:f>IF(A123="","",F123&amp;"_"&amp;COUNTIFS($F$6:F123,F123,$A$6:A123,"&lt;&gt;"))</x:f>
      </x:c>
      <x:c r="O123" t="str">
        <x:f>IF(A123="","",IF(F123&lt;&gt;"Hecho","Pendiente",IF(AND(J123&lt;&gt;"",ISNUMBER(K123),L123="Aprobada"),"Verificado","Falta evidencia o revisión")))</x:f>
      </x:c>
    </x:row>
    <x:row r="124">
      <x:c r="E124" s="13"/>
      <x:c r="F124" s="13"/>
      <x:c r="H124" s="17"/>
      <x:c r="J124" s="13"/>
      <x:c r="K124" s="15"/>
      <x:c r="L124" s="13"/>
      <x:c r="M124" s="15"/>
      <x:c r="N124" t="str">
        <x:f>IF(A124="","",F124&amp;"_"&amp;COUNTIFS($F$6:F124,F124,$A$6:A124,"&lt;&gt;"))</x:f>
      </x:c>
      <x:c r="O124" t="str">
        <x:f>IF(A124="","",IF(F124&lt;&gt;"Hecho","Pendiente",IF(AND(J124&lt;&gt;"",ISNUMBER(K124),L124="Aprobada"),"Verificado","Falta evidencia o revisión")))</x:f>
      </x:c>
    </x:row>
    <x:row r="125">
      <x:c r="E125" s="13"/>
      <x:c r="F125" s="13"/>
      <x:c r="H125" s="17"/>
      <x:c r="J125" s="13"/>
      <x:c r="K125" s="15"/>
      <x:c r="L125" s="13"/>
      <x:c r="M125" s="15"/>
      <x:c r="N125" t="str">
        <x:f>IF(A125="","",F125&amp;"_"&amp;COUNTIFS($F$6:F125,F125,$A$6:A125,"&lt;&gt;"))</x:f>
      </x:c>
      <x:c r="O125" t="str">
        <x:f>IF(A125="","",IF(F125&lt;&gt;"Hecho","Pendiente",IF(AND(J125&lt;&gt;"",ISNUMBER(K125),L125="Aprobada"),"Verificado","Falta evidencia o revisión")))</x:f>
      </x:c>
    </x:row>
    <x:row r="126">
      <x:c r="E126" s="13"/>
      <x:c r="F126" s="13"/>
      <x:c r="H126" s="17"/>
      <x:c r="J126" s="13"/>
      <x:c r="K126" s="15"/>
      <x:c r="L126" s="13"/>
      <x:c r="M126" s="15"/>
      <x:c r="N126" t="str">
        <x:f>IF(A126="","",F126&amp;"_"&amp;COUNTIFS($F$6:F126,F126,$A$6:A126,"&lt;&gt;"))</x:f>
      </x:c>
      <x:c r="O126" t="str">
        <x:f>IF(A126="","",IF(F126&lt;&gt;"Hecho","Pendiente",IF(AND(J126&lt;&gt;"",ISNUMBER(K126),L126="Aprobada"),"Verificado","Falta evidencia o revisión")))</x:f>
      </x:c>
    </x:row>
    <x:row r="127">
      <x:c r="E127" s="13"/>
      <x:c r="F127" s="13"/>
      <x:c r="H127" s="17"/>
      <x:c r="J127" s="13"/>
      <x:c r="K127" s="15"/>
      <x:c r="L127" s="13"/>
      <x:c r="M127" s="15"/>
      <x:c r="N127" t="str">
        <x:f>IF(A127="","",F127&amp;"_"&amp;COUNTIFS($F$6:F127,F127,$A$6:A127,"&lt;&gt;"))</x:f>
      </x:c>
      <x:c r="O127" t="str">
        <x:f>IF(A127="","",IF(F127&lt;&gt;"Hecho","Pendiente",IF(AND(J127&lt;&gt;"",ISNUMBER(K127),L127="Aprobada"),"Verificado","Falta evidencia o revisión")))</x:f>
      </x:c>
    </x:row>
    <x:row r="128">
      <x:c r="E128" s="13"/>
      <x:c r="F128" s="13"/>
      <x:c r="H128" s="17"/>
      <x:c r="J128" s="13"/>
      <x:c r="K128" s="15"/>
      <x:c r="L128" s="13"/>
      <x:c r="M128" s="15"/>
      <x:c r="N128" t="str">
        <x:f>IF(A128="","",F128&amp;"_"&amp;COUNTIFS($F$6:F128,F128,$A$6:A128,"&lt;&gt;"))</x:f>
      </x:c>
      <x:c r="O128" t="str">
        <x:f>IF(A128="","",IF(F128&lt;&gt;"Hecho","Pendiente",IF(AND(J128&lt;&gt;"",ISNUMBER(K128),L128="Aprobada"),"Verificado","Falta evidencia o revisión")))</x:f>
      </x:c>
    </x:row>
    <x:row r="129">
      <x:c r="E129" s="13"/>
      <x:c r="F129" s="13"/>
      <x:c r="H129" s="17"/>
      <x:c r="J129" s="13"/>
      <x:c r="K129" s="15"/>
      <x:c r="L129" s="13"/>
      <x:c r="M129" s="15"/>
      <x:c r="N129" t="str">
        <x:f>IF(A129="","",F129&amp;"_"&amp;COUNTIFS($F$6:F129,F129,$A$6:A129,"&lt;&gt;"))</x:f>
      </x:c>
      <x:c r="O129" t="str">
        <x:f>IF(A129="","",IF(F129&lt;&gt;"Hecho","Pendiente",IF(AND(J129&lt;&gt;"",ISNUMBER(K129),L129="Aprobada"),"Verificado","Falta evidencia o revisión")))</x:f>
      </x:c>
    </x:row>
    <x:row r="130">
      <x:c r="E130" s="13"/>
      <x:c r="F130" s="13"/>
      <x:c r="H130" s="17"/>
      <x:c r="J130" s="13"/>
      <x:c r="K130" s="15"/>
      <x:c r="L130" s="13"/>
      <x:c r="M130" s="15"/>
      <x:c r="N130" t="str">
        <x:f>IF(A130="","",F130&amp;"_"&amp;COUNTIFS($F$6:F130,F130,$A$6:A130,"&lt;&gt;"))</x:f>
      </x:c>
      <x:c r="O130" t="str">
        <x:f>IF(A130="","",IF(F130&lt;&gt;"Hecho","Pendiente",IF(AND(J130&lt;&gt;"",ISNUMBER(K130),L130="Aprobada"),"Verificado","Falta evidencia o revisión")))</x:f>
      </x:c>
    </x:row>
    <x:row r="131">
      <x:c r="E131" s="13"/>
      <x:c r="F131" s="13"/>
      <x:c r="H131" s="17"/>
      <x:c r="J131" s="13"/>
      <x:c r="K131" s="15"/>
      <x:c r="L131" s="13"/>
      <x:c r="M131" s="15"/>
      <x:c r="N131" t="str">
        <x:f>IF(A131="","",F131&amp;"_"&amp;COUNTIFS($F$6:F131,F131,$A$6:A131,"&lt;&gt;"))</x:f>
      </x:c>
      <x:c r="O131" t="str">
        <x:f>IF(A131="","",IF(F131&lt;&gt;"Hecho","Pendiente",IF(AND(J131&lt;&gt;"",ISNUMBER(K131),L131="Aprobada"),"Verificado","Falta evidencia o revisión")))</x:f>
      </x:c>
    </x:row>
    <x:row r="132">
      <x:c r="E132" s="13"/>
      <x:c r="F132" s="13"/>
      <x:c r="H132" s="17"/>
      <x:c r="J132" s="13"/>
      <x:c r="K132" s="15"/>
      <x:c r="L132" s="13"/>
      <x:c r="M132" s="15"/>
      <x:c r="N132" t="str">
        <x:f>IF(A132="","",F132&amp;"_"&amp;COUNTIFS($F$6:F132,F132,$A$6:A132,"&lt;&gt;"))</x:f>
      </x:c>
      <x:c r="O132" t="str">
        <x:f>IF(A132="","",IF(F132&lt;&gt;"Hecho","Pendiente",IF(AND(J132&lt;&gt;"",ISNUMBER(K132),L132="Aprobada"),"Verificado","Falta evidencia o revisión")))</x:f>
      </x:c>
    </x:row>
    <x:row r="133">
      <x:c r="E133" s="13"/>
      <x:c r="F133" s="13"/>
      <x:c r="H133" s="17"/>
      <x:c r="J133" s="13"/>
      <x:c r="K133" s="15"/>
      <x:c r="L133" s="13"/>
      <x:c r="M133" s="15"/>
      <x:c r="N133" t="str">
        <x:f>IF(A133="","",F133&amp;"_"&amp;COUNTIFS($F$6:F133,F133,$A$6:A133,"&lt;&gt;"))</x:f>
      </x:c>
      <x:c r="O133" t="str">
        <x:f>IF(A133="","",IF(F133&lt;&gt;"Hecho","Pendiente",IF(AND(J133&lt;&gt;"",ISNUMBER(K133),L133="Aprobada"),"Verificado","Falta evidencia o revisión")))</x:f>
      </x:c>
    </x:row>
    <x:row r="134">
      <x:c r="E134" s="13"/>
      <x:c r="F134" s="13"/>
      <x:c r="H134" s="17"/>
      <x:c r="J134" s="13"/>
      <x:c r="K134" s="15"/>
      <x:c r="L134" s="13"/>
      <x:c r="M134" s="15"/>
      <x:c r="N134" t="str">
        <x:f>IF(A134="","",F134&amp;"_"&amp;COUNTIFS($F$6:F134,F134,$A$6:A134,"&lt;&gt;"))</x:f>
      </x:c>
      <x:c r="O134" t="str">
        <x:f>IF(A134="","",IF(F134&lt;&gt;"Hecho","Pendiente",IF(AND(J134&lt;&gt;"",ISNUMBER(K134),L134="Aprobada"),"Verificado","Falta evidencia o revisión")))</x:f>
      </x:c>
    </x:row>
    <x:row r="135">
      <x:c r="E135" s="13"/>
      <x:c r="F135" s="13"/>
      <x:c r="H135" s="17"/>
      <x:c r="J135" s="13"/>
      <x:c r="K135" s="15"/>
      <x:c r="L135" s="13"/>
      <x:c r="M135" s="15"/>
      <x:c r="N135" t="str">
        <x:f>IF(A135="","",F135&amp;"_"&amp;COUNTIFS($F$6:F135,F135,$A$6:A135,"&lt;&gt;"))</x:f>
      </x:c>
      <x:c r="O135" t="str">
        <x:f>IF(A135="","",IF(F135&lt;&gt;"Hecho","Pendiente",IF(AND(J135&lt;&gt;"",ISNUMBER(K135),L135="Aprobada"),"Verificado","Falta evidencia o revisión")))</x:f>
      </x:c>
    </x:row>
    <x:row r="136">
      <x:c r="E136" s="13"/>
      <x:c r="F136" s="13"/>
      <x:c r="H136" s="17"/>
      <x:c r="J136" s="13"/>
      <x:c r="K136" s="15"/>
      <x:c r="L136" s="13"/>
      <x:c r="M136" s="15"/>
      <x:c r="N136" t="str">
        <x:f>IF(A136="","",F136&amp;"_"&amp;COUNTIFS($F$6:F136,F136,$A$6:A136,"&lt;&gt;"))</x:f>
      </x:c>
      <x:c r="O136" t="str">
        <x:f>IF(A136="","",IF(F136&lt;&gt;"Hecho","Pendiente",IF(AND(J136&lt;&gt;"",ISNUMBER(K136),L136="Aprobada"),"Verificado","Falta evidencia o revisión")))</x:f>
      </x:c>
    </x:row>
    <x:row r="137">
      <x:c r="E137" s="13"/>
      <x:c r="F137" s="13"/>
      <x:c r="H137" s="17"/>
      <x:c r="J137" s="13"/>
      <x:c r="K137" s="15"/>
      <x:c r="L137" s="13"/>
      <x:c r="M137" s="15"/>
      <x:c r="N137" t="str">
        <x:f>IF(A137="","",F137&amp;"_"&amp;COUNTIFS($F$6:F137,F137,$A$6:A137,"&lt;&gt;"))</x:f>
      </x:c>
      <x:c r="O137" t="str">
        <x:f>IF(A137="","",IF(F137&lt;&gt;"Hecho","Pendiente",IF(AND(J137&lt;&gt;"",ISNUMBER(K137),L137="Aprobada"),"Verificado","Falta evidencia o revisión")))</x:f>
      </x:c>
    </x:row>
    <x:row r="138">
      <x:c r="E138" s="13"/>
      <x:c r="F138" s="13"/>
      <x:c r="H138" s="17"/>
      <x:c r="J138" s="13"/>
      <x:c r="K138" s="15"/>
      <x:c r="L138" s="13"/>
      <x:c r="M138" s="15"/>
      <x:c r="N138" t="str">
        <x:f>IF(A138="","",F138&amp;"_"&amp;COUNTIFS($F$6:F138,F138,$A$6:A138,"&lt;&gt;"))</x:f>
      </x:c>
      <x:c r="O138" t="str">
        <x:f>IF(A138="","",IF(F138&lt;&gt;"Hecho","Pendiente",IF(AND(J138&lt;&gt;"",ISNUMBER(K138),L138="Aprobada"),"Verificado","Falta evidencia o revisión")))</x:f>
      </x:c>
    </x:row>
    <x:row r="139">
      <x:c r="E139" s="13"/>
      <x:c r="F139" s="13"/>
      <x:c r="H139" s="17"/>
      <x:c r="J139" s="13"/>
      <x:c r="K139" s="15"/>
      <x:c r="L139" s="13"/>
      <x:c r="M139" s="15"/>
      <x:c r="N139" t="str">
        <x:f>IF(A139="","",F139&amp;"_"&amp;COUNTIFS($F$6:F139,F139,$A$6:A139,"&lt;&gt;"))</x:f>
      </x:c>
      <x:c r="O139" t="str">
        <x:f>IF(A139="","",IF(F139&lt;&gt;"Hecho","Pendiente",IF(AND(J139&lt;&gt;"",ISNUMBER(K139),L139="Aprobada"),"Verificado","Falta evidencia o revisión")))</x:f>
      </x:c>
    </x:row>
    <x:row r="140">
      <x:c r="E140" s="13"/>
      <x:c r="F140" s="13"/>
      <x:c r="H140" s="17"/>
      <x:c r="J140" s="13"/>
      <x:c r="K140" s="15"/>
      <x:c r="L140" s="13"/>
      <x:c r="M140" s="15"/>
      <x:c r="N140" t="str">
        <x:f>IF(A140="","",F140&amp;"_"&amp;COUNTIFS($F$6:F140,F140,$A$6:A140,"&lt;&gt;"))</x:f>
      </x:c>
      <x:c r="O140" t="str">
        <x:f>IF(A140="","",IF(F140&lt;&gt;"Hecho","Pendiente",IF(AND(J140&lt;&gt;"",ISNUMBER(K140),L140="Aprobada"),"Verificado","Falta evidencia o revisión")))</x:f>
      </x:c>
    </x:row>
    <x:row r="141">
      <x:c r="E141" s="13"/>
      <x:c r="F141" s="13"/>
      <x:c r="H141" s="17"/>
      <x:c r="J141" s="13"/>
      <x:c r="K141" s="15"/>
      <x:c r="L141" s="13"/>
      <x:c r="M141" s="15"/>
      <x:c r="N141" t="str">
        <x:f>IF(A141="","",F141&amp;"_"&amp;COUNTIFS($F$6:F141,F141,$A$6:A141,"&lt;&gt;"))</x:f>
      </x:c>
      <x:c r="O141" t="str">
        <x:f>IF(A141="","",IF(F141&lt;&gt;"Hecho","Pendiente",IF(AND(J141&lt;&gt;"",ISNUMBER(K141),L141="Aprobada"),"Verificado","Falta evidencia o revisión")))</x:f>
      </x:c>
    </x:row>
    <x:row r="142">
      <x:c r="E142" s="13"/>
      <x:c r="F142" s="13"/>
      <x:c r="H142" s="17"/>
      <x:c r="J142" s="13"/>
      <x:c r="K142" s="15"/>
      <x:c r="L142" s="13"/>
      <x:c r="M142" s="15"/>
      <x:c r="N142" t="str">
        <x:f>IF(A142="","",F142&amp;"_"&amp;COUNTIFS($F$6:F142,F142,$A$6:A142,"&lt;&gt;"))</x:f>
      </x:c>
      <x:c r="O142" t="str">
        <x:f>IF(A142="","",IF(F142&lt;&gt;"Hecho","Pendiente",IF(AND(J142&lt;&gt;"",ISNUMBER(K142),L142="Aprobada"),"Verificado","Falta evidencia o revisión")))</x:f>
      </x:c>
    </x:row>
    <x:row r="143">
      <x:c r="E143" s="13"/>
      <x:c r="F143" s="13"/>
      <x:c r="H143" s="17"/>
      <x:c r="J143" s="13"/>
      <x:c r="K143" s="15"/>
      <x:c r="L143" s="13"/>
      <x:c r="M143" s="15"/>
      <x:c r="N143" t="str">
        <x:f>IF(A143="","",F143&amp;"_"&amp;COUNTIFS($F$6:F143,F143,$A$6:A143,"&lt;&gt;"))</x:f>
      </x:c>
      <x:c r="O143" t="str">
        <x:f>IF(A143="","",IF(F143&lt;&gt;"Hecho","Pendiente",IF(AND(J143&lt;&gt;"",ISNUMBER(K143),L143="Aprobada"),"Verificado","Falta evidencia o revisión")))</x:f>
      </x:c>
    </x:row>
    <x:row r="144">
      <x:c r="E144" s="13"/>
      <x:c r="F144" s="13"/>
      <x:c r="H144" s="17"/>
      <x:c r="J144" s="13"/>
      <x:c r="K144" s="15"/>
      <x:c r="L144" s="13"/>
      <x:c r="M144" s="15"/>
      <x:c r="N144" t="str">
        <x:f>IF(A144="","",F144&amp;"_"&amp;COUNTIFS($F$6:F144,F144,$A$6:A144,"&lt;&gt;"))</x:f>
      </x:c>
      <x:c r="O144" t="str">
        <x:f>IF(A144="","",IF(F144&lt;&gt;"Hecho","Pendiente",IF(AND(J144&lt;&gt;"",ISNUMBER(K144),L144="Aprobada"),"Verificado","Falta evidencia o revisión")))</x:f>
      </x:c>
    </x:row>
    <x:row r="145">
      <x:c r="E145" s="13"/>
      <x:c r="F145" s="13"/>
      <x:c r="H145" s="17"/>
      <x:c r="J145" s="13"/>
      <x:c r="K145" s="15"/>
      <x:c r="L145" s="13"/>
      <x:c r="M145" s="15"/>
      <x:c r="N145" t="str">
        <x:f>IF(A145="","",F145&amp;"_"&amp;COUNTIFS($F$6:F145,F145,$A$6:A145,"&lt;&gt;"))</x:f>
      </x:c>
      <x:c r="O145" t="str">
        <x:f>IF(A145="","",IF(F145&lt;&gt;"Hecho","Pendiente",IF(AND(J145&lt;&gt;"",ISNUMBER(K145),L145="Aprobada"),"Verificado","Falta evidencia o revisión")))</x:f>
      </x:c>
    </x:row>
    <x:row r="146">
      <x:c r="E146" s="13"/>
      <x:c r="F146" s="13"/>
      <x:c r="H146" s="17"/>
      <x:c r="J146" s="13"/>
      <x:c r="K146" s="15"/>
      <x:c r="L146" s="13"/>
      <x:c r="M146" s="15"/>
      <x:c r="N146" t="str">
        <x:f>IF(A146="","",F146&amp;"_"&amp;COUNTIFS($F$6:F146,F146,$A$6:A146,"&lt;&gt;"))</x:f>
      </x:c>
      <x:c r="O146" t="str">
        <x:f>IF(A146="","",IF(F146&lt;&gt;"Hecho","Pendiente",IF(AND(J146&lt;&gt;"",ISNUMBER(K146),L146="Aprobada"),"Verificado","Falta evidencia o revisión")))</x:f>
      </x:c>
    </x:row>
    <x:row r="147">
      <x:c r="E147" s="13"/>
      <x:c r="F147" s="13"/>
      <x:c r="H147" s="17"/>
      <x:c r="J147" s="13"/>
      <x:c r="K147" s="15"/>
      <x:c r="L147" s="13"/>
      <x:c r="M147" s="15"/>
      <x:c r="N147" t="str">
        <x:f>IF(A147="","",F147&amp;"_"&amp;COUNTIFS($F$6:F147,F147,$A$6:A147,"&lt;&gt;"))</x:f>
      </x:c>
      <x:c r="O147" t="str">
        <x:f>IF(A147="","",IF(F147&lt;&gt;"Hecho","Pendiente",IF(AND(J147&lt;&gt;"",ISNUMBER(K147),L147="Aprobada"),"Verificado","Falta evidencia o revisión")))</x:f>
      </x:c>
    </x:row>
    <x:row r="148">
      <x:c r="E148" s="13"/>
      <x:c r="F148" s="13"/>
      <x:c r="H148" s="17"/>
      <x:c r="J148" s="13"/>
      <x:c r="K148" s="15"/>
      <x:c r="L148" s="13"/>
      <x:c r="M148" s="15"/>
      <x:c r="N148" t="str">
        <x:f>IF(A148="","",F148&amp;"_"&amp;COUNTIFS($F$6:F148,F148,$A$6:A148,"&lt;&gt;"))</x:f>
      </x:c>
      <x:c r="O148" t="str">
        <x:f>IF(A148="","",IF(F148&lt;&gt;"Hecho","Pendiente",IF(AND(J148&lt;&gt;"",ISNUMBER(K148),L148="Aprobada"),"Verificado","Falta evidencia o revisión")))</x:f>
      </x:c>
    </x:row>
    <x:row r="149">
      <x:c r="E149" s="13"/>
      <x:c r="F149" s="13"/>
      <x:c r="H149" s="17"/>
      <x:c r="J149" s="13"/>
      <x:c r="K149" s="15"/>
      <x:c r="L149" s="13"/>
      <x:c r="M149" s="15"/>
      <x:c r="N149" t="str">
        <x:f>IF(A149="","",F149&amp;"_"&amp;COUNTIFS($F$6:F149,F149,$A$6:A149,"&lt;&gt;"))</x:f>
      </x:c>
      <x:c r="O149" t="str">
        <x:f>IF(A149="","",IF(F149&lt;&gt;"Hecho","Pendiente",IF(AND(J149&lt;&gt;"",ISNUMBER(K149),L149="Aprobada"),"Verificado","Falta evidencia o revisión")))</x:f>
      </x:c>
    </x:row>
    <x:row r="150">
      <x:c r="E150" s="13"/>
      <x:c r="F150" s="13"/>
      <x:c r="H150" s="17"/>
      <x:c r="J150" s="13"/>
      <x:c r="K150" s="15"/>
      <x:c r="L150" s="13"/>
      <x:c r="M150" s="15"/>
      <x:c r="N150" t="str">
        <x:f>IF(A150="","",F150&amp;"_"&amp;COUNTIFS($F$6:F150,F150,$A$6:A150,"&lt;&gt;"))</x:f>
      </x:c>
      <x:c r="O150" t="str">
        <x:f>IF(A150="","",IF(F150&lt;&gt;"Hecho","Pendiente",IF(AND(J150&lt;&gt;"",ISNUMBER(K150),L150="Aprobada"),"Verificado","Falta evidencia o revisión")))</x:f>
      </x:c>
    </x:row>
    <x:row r="151">
      <x:c r="E151" s="13"/>
      <x:c r="F151" s="13"/>
      <x:c r="H151" s="17"/>
      <x:c r="J151" s="13"/>
      <x:c r="K151" s="15"/>
      <x:c r="L151" s="13"/>
      <x:c r="M151" s="15"/>
      <x:c r="N151" t="str">
        <x:f>IF(A151="","",F151&amp;"_"&amp;COUNTIFS($F$6:F151,F151,$A$6:A151,"&lt;&gt;"))</x:f>
      </x:c>
      <x:c r="O151" t="str">
        <x:f>IF(A151="","",IF(F151&lt;&gt;"Hecho","Pendiente",IF(AND(J151&lt;&gt;"",ISNUMBER(K151),L151="Aprobada"),"Verificado","Falta evidencia o revisión")))</x:f>
      </x:c>
    </x:row>
    <x:row r="152">
      <x:c r="E152" s="13"/>
      <x:c r="F152" s="13"/>
      <x:c r="H152" s="17"/>
      <x:c r="J152" s="13"/>
      <x:c r="K152" s="15"/>
      <x:c r="L152" s="13"/>
      <x:c r="M152" s="15"/>
      <x:c r="N152" t="str">
        <x:f>IF(A152="","",F152&amp;"_"&amp;COUNTIFS($F$6:F152,F152,$A$6:A152,"&lt;&gt;"))</x:f>
      </x:c>
      <x:c r="O152" t="str">
        <x:f>IF(A152="","",IF(F152&lt;&gt;"Hecho","Pendiente",IF(AND(J152&lt;&gt;"",ISNUMBER(K152),L152="Aprobada"),"Verificado","Falta evidencia o revisión")))</x:f>
      </x:c>
    </x:row>
    <x:row r="153">
      <x:c r="E153" s="13"/>
      <x:c r="F153" s="13"/>
      <x:c r="H153" s="17"/>
      <x:c r="J153" s="13"/>
      <x:c r="K153" s="15"/>
      <x:c r="L153" s="13"/>
      <x:c r="M153" s="15"/>
      <x:c r="N153" t="str">
        <x:f>IF(A153="","",F153&amp;"_"&amp;COUNTIFS($F$6:F153,F153,$A$6:A153,"&lt;&gt;"))</x:f>
      </x:c>
      <x:c r="O153" t="str">
        <x:f>IF(A153="","",IF(F153&lt;&gt;"Hecho","Pendiente",IF(AND(J153&lt;&gt;"",ISNUMBER(K153),L153="Aprobada"),"Verificado","Falta evidencia o revisión")))</x:f>
      </x:c>
    </x:row>
    <x:row r="154">
      <x:c r="E154" s="13"/>
      <x:c r="F154" s="13"/>
      <x:c r="H154" s="17"/>
      <x:c r="J154" s="13"/>
      <x:c r="K154" s="15"/>
      <x:c r="L154" s="13"/>
      <x:c r="M154" s="15"/>
      <x:c r="N154" t="str">
        <x:f>IF(A154="","",F154&amp;"_"&amp;COUNTIFS($F$6:F154,F154,$A$6:A154,"&lt;&gt;"))</x:f>
      </x:c>
      <x:c r="O154" t="str">
        <x:f>IF(A154="","",IF(F154&lt;&gt;"Hecho","Pendiente",IF(AND(J154&lt;&gt;"",ISNUMBER(K154),L154="Aprobada"),"Verificado","Falta evidencia o revisión")))</x:f>
      </x:c>
    </x:row>
    <x:row r="155">
      <x:c r="E155" s="13"/>
      <x:c r="F155" s="13"/>
      <x:c r="H155" s="17"/>
      <x:c r="J155" s="13"/>
      <x:c r="K155" s="15"/>
      <x:c r="L155" s="13"/>
      <x:c r="M155" s="15"/>
      <x:c r="N155" t="str">
        <x:f>IF(A155="","",F155&amp;"_"&amp;COUNTIFS($F$6:F155,F155,$A$6:A155,"&lt;&gt;"))</x:f>
      </x:c>
      <x:c r="O155" t="str">
        <x:f>IF(A155="","",IF(F155&lt;&gt;"Hecho","Pendiente",IF(AND(J155&lt;&gt;"",ISNUMBER(K155),L155="Aprobada"),"Verificado","Falta evidencia o revisión")))</x:f>
      </x:c>
    </x:row>
    <x:row r="156">
      <x:c r="E156" s="13"/>
      <x:c r="F156" s="13"/>
      <x:c r="H156" s="17"/>
      <x:c r="J156" s="13"/>
      <x:c r="K156" s="15"/>
      <x:c r="L156" s="13"/>
      <x:c r="M156" s="15"/>
      <x:c r="N156" t="str">
        <x:f>IF(A156="","",F156&amp;"_"&amp;COUNTIFS($F$6:F156,F156,$A$6:A156,"&lt;&gt;"))</x:f>
      </x:c>
      <x:c r="O156" t="str">
        <x:f>IF(A156="","",IF(F156&lt;&gt;"Hecho","Pendiente",IF(AND(J156&lt;&gt;"",ISNUMBER(K156),L156="Aprobada"),"Verificado","Falta evidencia o revisión")))</x:f>
      </x:c>
    </x:row>
    <x:row r="157">
      <x:c r="E157" s="13"/>
      <x:c r="F157" s="13"/>
      <x:c r="H157" s="17"/>
      <x:c r="J157" s="13"/>
      <x:c r="K157" s="15"/>
      <x:c r="L157" s="13"/>
      <x:c r="M157" s="15"/>
      <x:c r="N157" t="str">
        <x:f>IF(A157="","",F157&amp;"_"&amp;COUNTIFS($F$6:F157,F157,$A$6:A157,"&lt;&gt;"))</x:f>
      </x:c>
      <x:c r="O157" t="str">
        <x:f>IF(A157="","",IF(F157&lt;&gt;"Hecho","Pendiente",IF(AND(J157&lt;&gt;"",ISNUMBER(K157),L157="Aprobada"),"Verificado","Falta evidencia o revisión")))</x:f>
      </x:c>
    </x:row>
    <x:row r="158">
      <x:c r="E158" s="13"/>
      <x:c r="F158" s="13"/>
      <x:c r="H158" s="17"/>
      <x:c r="J158" s="13"/>
      <x:c r="K158" s="15"/>
      <x:c r="L158" s="13"/>
      <x:c r="M158" s="15"/>
      <x:c r="N158" t="str">
        <x:f>IF(A158="","",F158&amp;"_"&amp;COUNTIFS($F$6:F158,F158,$A$6:A158,"&lt;&gt;"))</x:f>
      </x:c>
      <x:c r="O158" t="str">
        <x:f>IF(A158="","",IF(F158&lt;&gt;"Hecho","Pendiente",IF(AND(J158&lt;&gt;"",ISNUMBER(K158),L158="Aprobada"),"Verificado","Falta evidencia o revisión")))</x:f>
      </x:c>
    </x:row>
    <x:row r="159">
      <x:c r="E159" s="13"/>
      <x:c r="F159" s="13"/>
      <x:c r="H159" s="17"/>
      <x:c r="J159" s="13"/>
      <x:c r="K159" s="15"/>
      <x:c r="L159" s="13"/>
      <x:c r="M159" s="15"/>
      <x:c r="N159" t="str">
        <x:f>IF(A159="","",F159&amp;"_"&amp;COUNTIFS($F$6:F159,F159,$A$6:A159,"&lt;&gt;"))</x:f>
      </x:c>
      <x:c r="O159" t="str">
        <x:f>IF(A159="","",IF(F159&lt;&gt;"Hecho","Pendiente",IF(AND(J159&lt;&gt;"",ISNUMBER(K159),L159="Aprobada"),"Verificado","Falta evidencia o revisión")))</x:f>
      </x:c>
    </x:row>
    <x:row r="160">
      <x:c r="E160" s="13"/>
      <x:c r="F160" s="13"/>
      <x:c r="H160" s="17"/>
      <x:c r="J160" s="13"/>
      <x:c r="K160" s="15"/>
      <x:c r="L160" s="13"/>
      <x:c r="M160" s="15"/>
      <x:c r="N160" t="str">
        <x:f>IF(A160="","",F160&amp;"_"&amp;COUNTIFS($F$6:F160,F160,$A$6:A160,"&lt;&gt;"))</x:f>
      </x:c>
      <x:c r="O160" t="str">
        <x:f>IF(A160="","",IF(F160&lt;&gt;"Hecho","Pendiente",IF(AND(J160&lt;&gt;"",ISNUMBER(K160),L160="Aprobada"),"Verificado","Falta evidencia o revisión")))</x:f>
      </x:c>
    </x:row>
    <x:row r="161">
      <x:c r="E161" s="13"/>
      <x:c r="F161" s="13"/>
      <x:c r="H161" s="17"/>
      <x:c r="J161" s="13"/>
      <x:c r="K161" s="15"/>
      <x:c r="L161" s="13"/>
      <x:c r="M161" s="15"/>
      <x:c r="N161" t="str">
        <x:f>IF(A161="","",F161&amp;"_"&amp;COUNTIFS($F$6:F161,F161,$A$6:A161,"&lt;&gt;"))</x:f>
      </x:c>
      <x:c r="O161" t="str">
        <x:f>IF(A161="","",IF(F161&lt;&gt;"Hecho","Pendiente",IF(AND(J161&lt;&gt;"",ISNUMBER(K161),L161="Aprobada"),"Verificado","Falta evidencia o revisión")))</x:f>
      </x:c>
    </x:row>
    <x:row r="162">
      <x:c r="E162" s="13"/>
      <x:c r="F162" s="13"/>
      <x:c r="H162" s="17"/>
      <x:c r="J162" s="13"/>
      <x:c r="K162" s="15"/>
      <x:c r="L162" s="13"/>
      <x:c r="M162" s="15"/>
      <x:c r="N162" t="str">
        <x:f>IF(A162="","",F162&amp;"_"&amp;COUNTIFS($F$6:F162,F162,$A$6:A162,"&lt;&gt;"))</x:f>
      </x:c>
      <x:c r="O162" t="str">
        <x:f>IF(A162="","",IF(F162&lt;&gt;"Hecho","Pendiente",IF(AND(J162&lt;&gt;"",ISNUMBER(K162),L162="Aprobada"),"Verificado","Falta evidencia o revisión")))</x:f>
      </x:c>
    </x:row>
    <x:row r="163">
      <x:c r="E163" s="13"/>
      <x:c r="F163" s="13"/>
      <x:c r="H163" s="17"/>
      <x:c r="J163" s="13"/>
      <x:c r="K163" s="15"/>
      <x:c r="L163" s="13"/>
      <x:c r="M163" s="15"/>
      <x:c r="N163" t="str">
        <x:f>IF(A163="","",F163&amp;"_"&amp;COUNTIFS($F$6:F163,F163,$A$6:A163,"&lt;&gt;"))</x:f>
      </x:c>
      <x:c r="O163" t="str">
        <x:f>IF(A163="","",IF(F163&lt;&gt;"Hecho","Pendiente",IF(AND(J163&lt;&gt;"",ISNUMBER(K163),L163="Aprobada"),"Verificado","Falta evidencia o revisión")))</x:f>
      </x:c>
    </x:row>
    <x:row r="164">
      <x:c r="E164" s="13"/>
      <x:c r="F164" s="13"/>
      <x:c r="H164" s="17"/>
      <x:c r="J164" s="13"/>
      <x:c r="K164" s="15"/>
      <x:c r="L164" s="13"/>
      <x:c r="M164" s="15"/>
      <x:c r="N164" t="str">
        <x:f>IF(A164="","",F164&amp;"_"&amp;COUNTIFS($F$6:F164,F164,$A$6:A164,"&lt;&gt;"))</x:f>
      </x:c>
      <x:c r="O164" t="str">
        <x:f>IF(A164="","",IF(F164&lt;&gt;"Hecho","Pendiente",IF(AND(J164&lt;&gt;"",ISNUMBER(K164),L164="Aprobada"),"Verificado","Falta evidencia o revisión")))</x:f>
      </x:c>
    </x:row>
    <x:row r="165">
      <x:c r="E165" s="13"/>
      <x:c r="F165" s="13"/>
      <x:c r="H165" s="17"/>
      <x:c r="J165" s="13"/>
      <x:c r="K165" s="15"/>
      <x:c r="L165" s="13"/>
      <x:c r="M165" s="15"/>
      <x:c r="N165" t="str">
        <x:f>IF(A165="","",F165&amp;"_"&amp;COUNTIFS($F$6:F165,F165,$A$6:A165,"&lt;&gt;"))</x:f>
      </x:c>
      <x:c r="O165" t="str">
        <x:f>IF(A165="","",IF(F165&lt;&gt;"Hecho","Pendiente",IF(AND(J165&lt;&gt;"",ISNUMBER(K165),L165="Aprobada"),"Verificado","Falta evidencia o revisión")))</x:f>
      </x:c>
    </x:row>
    <x:row r="166">
      <x:c r="E166" s="13"/>
      <x:c r="F166" s="13"/>
      <x:c r="H166" s="17"/>
      <x:c r="J166" s="13"/>
      <x:c r="K166" s="15"/>
      <x:c r="L166" s="13"/>
      <x:c r="M166" s="15"/>
      <x:c r="N166" t="str">
        <x:f>IF(A166="","",F166&amp;"_"&amp;COUNTIFS($F$6:F166,F166,$A$6:A166,"&lt;&gt;"))</x:f>
      </x:c>
      <x:c r="O166" t="str">
        <x:f>IF(A166="","",IF(F166&lt;&gt;"Hecho","Pendiente",IF(AND(J166&lt;&gt;"",ISNUMBER(K166),L166="Aprobada"),"Verificado","Falta evidencia o revisión")))</x:f>
      </x:c>
    </x:row>
    <x:row r="167">
      <x:c r="E167" s="13"/>
      <x:c r="F167" s="13"/>
      <x:c r="H167" s="17"/>
      <x:c r="J167" s="13"/>
      <x:c r="K167" s="15"/>
      <x:c r="L167" s="13"/>
      <x:c r="M167" s="15"/>
      <x:c r="N167" t="str">
        <x:f>IF(A167="","",F167&amp;"_"&amp;COUNTIFS($F$6:F167,F167,$A$6:A167,"&lt;&gt;"))</x:f>
      </x:c>
      <x:c r="O167" t="str">
        <x:f>IF(A167="","",IF(F167&lt;&gt;"Hecho","Pendiente",IF(AND(J167&lt;&gt;"",ISNUMBER(K167),L167="Aprobada"),"Verificado","Falta evidencia o revisión")))</x:f>
      </x:c>
    </x:row>
    <x:row r="168">
      <x:c r="E168" s="13"/>
      <x:c r="F168" s="13"/>
      <x:c r="H168" s="17"/>
      <x:c r="J168" s="13"/>
      <x:c r="K168" s="15"/>
      <x:c r="L168" s="13"/>
      <x:c r="M168" s="15"/>
      <x:c r="N168" t="str">
        <x:f>IF(A168="","",F168&amp;"_"&amp;COUNTIFS($F$6:F168,F168,$A$6:A168,"&lt;&gt;"))</x:f>
      </x:c>
      <x:c r="O168" t="str">
        <x:f>IF(A168="","",IF(F168&lt;&gt;"Hecho","Pendiente",IF(AND(J168&lt;&gt;"",ISNUMBER(K168),L168="Aprobada"),"Verificado","Falta evidencia o revisión")))</x:f>
      </x:c>
    </x:row>
    <x:row r="169">
      <x:c r="E169" s="13"/>
      <x:c r="F169" s="13"/>
      <x:c r="H169" s="17"/>
      <x:c r="J169" s="13"/>
      <x:c r="K169" s="15"/>
      <x:c r="L169" s="13"/>
      <x:c r="M169" s="15"/>
      <x:c r="N169" t="str">
        <x:f>IF(A169="","",F169&amp;"_"&amp;COUNTIFS($F$6:F169,F169,$A$6:A169,"&lt;&gt;"))</x:f>
      </x:c>
      <x:c r="O169" t="str">
        <x:f>IF(A169="","",IF(F169&lt;&gt;"Hecho","Pendiente",IF(AND(J169&lt;&gt;"",ISNUMBER(K169),L169="Aprobada"),"Verificado","Falta evidencia o revisión")))</x:f>
      </x:c>
    </x:row>
    <x:row r="170">
      <x:c r="E170" s="13"/>
      <x:c r="F170" s="13"/>
      <x:c r="H170" s="17"/>
      <x:c r="J170" s="13"/>
      <x:c r="K170" s="15"/>
      <x:c r="L170" s="13"/>
      <x:c r="M170" s="15"/>
      <x:c r="N170" t="str">
        <x:f>IF(A170="","",F170&amp;"_"&amp;COUNTIFS($F$6:F170,F170,$A$6:A170,"&lt;&gt;"))</x:f>
      </x:c>
      <x:c r="O170" t="str">
        <x:f>IF(A170="","",IF(F170&lt;&gt;"Hecho","Pendiente",IF(AND(J170&lt;&gt;"",ISNUMBER(K170),L170="Aprobada"),"Verificado","Falta evidencia o revisión")))</x:f>
      </x:c>
    </x:row>
    <x:row r="171">
      <x:c r="E171" s="13"/>
      <x:c r="F171" s="13"/>
      <x:c r="H171" s="17"/>
      <x:c r="J171" s="13"/>
      <x:c r="K171" s="15"/>
      <x:c r="L171" s="13"/>
      <x:c r="M171" s="15"/>
      <x:c r="N171" t="str">
        <x:f>IF(A171="","",F171&amp;"_"&amp;COUNTIFS($F$6:F171,F171,$A$6:A171,"&lt;&gt;"))</x:f>
      </x:c>
      <x:c r="O171" t="str">
        <x:f>IF(A171="","",IF(F171&lt;&gt;"Hecho","Pendiente",IF(AND(J171&lt;&gt;"",ISNUMBER(K171),L171="Aprobada"),"Verificado","Falta evidencia o revisión")))</x:f>
      </x:c>
    </x:row>
    <x:row r="172">
      <x:c r="E172" s="13"/>
      <x:c r="F172" s="13"/>
      <x:c r="H172" s="17"/>
      <x:c r="J172" s="13"/>
      <x:c r="K172" s="15"/>
      <x:c r="L172" s="13"/>
      <x:c r="M172" s="15"/>
      <x:c r="N172" t="str">
        <x:f>IF(A172="","",F172&amp;"_"&amp;COUNTIFS($F$6:F172,F172,$A$6:A172,"&lt;&gt;"))</x:f>
      </x:c>
      <x:c r="O172" t="str">
        <x:f>IF(A172="","",IF(F172&lt;&gt;"Hecho","Pendiente",IF(AND(J172&lt;&gt;"",ISNUMBER(K172),L172="Aprobada"),"Verificado","Falta evidencia o revisión")))</x:f>
      </x:c>
    </x:row>
    <x:row r="173">
      <x:c r="E173" s="13"/>
      <x:c r="F173" s="13"/>
      <x:c r="H173" s="17"/>
      <x:c r="J173" s="13"/>
      <x:c r="K173" s="15"/>
      <x:c r="L173" s="13"/>
      <x:c r="M173" s="15"/>
      <x:c r="N173" t="str">
        <x:f>IF(A173="","",F173&amp;"_"&amp;COUNTIFS($F$6:F173,F173,$A$6:A173,"&lt;&gt;"))</x:f>
      </x:c>
      <x:c r="O173" t="str">
        <x:f>IF(A173="","",IF(F173&lt;&gt;"Hecho","Pendiente",IF(AND(J173&lt;&gt;"",ISNUMBER(K173),L173="Aprobada"),"Verificado","Falta evidencia o revisión")))</x:f>
      </x:c>
    </x:row>
    <x:row r="174">
      <x:c r="E174" s="13"/>
      <x:c r="F174" s="13"/>
      <x:c r="H174" s="17"/>
      <x:c r="J174" s="13"/>
      <x:c r="K174" s="15"/>
      <x:c r="L174" s="13"/>
      <x:c r="M174" s="15"/>
      <x:c r="N174" t="str">
        <x:f>IF(A174="","",F174&amp;"_"&amp;COUNTIFS($F$6:F174,F174,$A$6:A174,"&lt;&gt;"))</x:f>
      </x:c>
      <x:c r="O174" t="str">
        <x:f>IF(A174="","",IF(F174&lt;&gt;"Hecho","Pendiente",IF(AND(J174&lt;&gt;"",ISNUMBER(K174),L174="Aprobada"),"Verificado","Falta evidencia o revisión")))</x:f>
      </x:c>
    </x:row>
    <x:row r="175">
      <x:c r="E175" s="13"/>
      <x:c r="F175" s="13"/>
      <x:c r="H175" s="17"/>
      <x:c r="J175" s="13"/>
      <x:c r="K175" s="15"/>
      <x:c r="L175" s="13"/>
      <x:c r="M175" s="15"/>
      <x:c r="N175" t="str">
        <x:f>IF(A175="","",F175&amp;"_"&amp;COUNTIFS($F$6:F175,F175,$A$6:A175,"&lt;&gt;"))</x:f>
      </x:c>
      <x:c r="O175" t="str">
        <x:f>IF(A175="","",IF(F175&lt;&gt;"Hecho","Pendiente",IF(AND(J175&lt;&gt;"",ISNUMBER(K175),L175="Aprobada"),"Verificado","Falta evidencia o revisión")))</x:f>
      </x:c>
    </x:row>
    <x:row r="176">
      <x:c r="E176" s="13"/>
      <x:c r="F176" s="13"/>
      <x:c r="H176" s="17"/>
      <x:c r="J176" s="13"/>
      <x:c r="K176" s="15"/>
      <x:c r="L176" s="13"/>
      <x:c r="M176" s="15"/>
      <x:c r="N176" t="str">
        <x:f>IF(A176="","",F176&amp;"_"&amp;COUNTIFS($F$6:F176,F176,$A$6:A176,"&lt;&gt;"))</x:f>
      </x:c>
      <x:c r="O176" t="str">
        <x:f>IF(A176="","",IF(F176&lt;&gt;"Hecho","Pendiente",IF(AND(J176&lt;&gt;"",ISNUMBER(K176),L176="Aprobada"),"Verificado","Falta evidencia o revisión")))</x:f>
      </x:c>
    </x:row>
    <x:row r="177">
      <x:c r="E177" s="13"/>
      <x:c r="F177" s="13"/>
      <x:c r="H177" s="17"/>
      <x:c r="J177" s="13"/>
      <x:c r="K177" s="15"/>
      <x:c r="L177" s="13"/>
      <x:c r="M177" s="15"/>
      <x:c r="N177" t="str">
        <x:f>IF(A177="","",F177&amp;"_"&amp;COUNTIFS($F$6:F177,F177,$A$6:A177,"&lt;&gt;"))</x:f>
      </x:c>
      <x:c r="O177" t="str">
        <x:f>IF(A177="","",IF(F177&lt;&gt;"Hecho","Pendiente",IF(AND(J177&lt;&gt;"",ISNUMBER(K177),L177="Aprobada"),"Verificado","Falta evidencia o revisión")))</x:f>
      </x:c>
    </x:row>
    <x:row r="178">
      <x:c r="E178" s="13"/>
      <x:c r="F178" s="13"/>
      <x:c r="H178" s="17"/>
      <x:c r="J178" s="13"/>
      <x:c r="K178" s="15"/>
      <x:c r="L178" s="13"/>
      <x:c r="M178" s="15"/>
      <x:c r="N178" t="str">
        <x:f>IF(A178="","",F178&amp;"_"&amp;COUNTIFS($F$6:F178,F178,$A$6:A178,"&lt;&gt;"))</x:f>
      </x:c>
      <x:c r="O178" t="str">
        <x:f>IF(A178="","",IF(F178&lt;&gt;"Hecho","Pendiente",IF(AND(J178&lt;&gt;"",ISNUMBER(K178),L178="Aprobada"),"Verificado","Falta evidencia o revisión")))</x:f>
      </x:c>
    </x:row>
    <x:row r="179">
      <x:c r="E179" s="13"/>
      <x:c r="F179" s="13"/>
      <x:c r="H179" s="17"/>
      <x:c r="J179" s="13"/>
      <x:c r="K179" s="15"/>
      <x:c r="L179" s="13"/>
      <x:c r="M179" s="15"/>
      <x:c r="N179" t="str">
        <x:f>IF(A179="","",F179&amp;"_"&amp;COUNTIFS($F$6:F179,F179,$A$6:A179,"&lt;&gt;"))</x:f>
      </x:c>
      <x:c r="O179" t="str">
        <x:f>IF(A179="","",IF(F179&lt;&gt;"Hecho","Pendiente",IF(AND(J179&lt;&gt;"",ISNUMBER(K179),L179="Aprobada"),"Verificado","Falta evidencia o revisión")))</x:f>
      </x:c>
    </x:row>
    <x:row r="180">
      <x:c r="E180" s="13"/>
      <x:c r="F180" s="13"/>
      <x:c r="H180" s="17"/>
      <x:c r="J180" s="13"/>
      <x:c r="K180" s="15"/>
      <x:c r="L180" s="13"/>
      <x:c r="M180" s="15"/>
      <x:c r="N180" t="str">
        <x:f>IF(A180="","",F180&amp;"_"&amp;COUNTIFS($F$6:F180,F180,$A$6:A180,"&lt;&gt;"))</x:f>
      </x:c>
      <x:c r="O180" t="str">
        <x:f>IF(A180="","",IF(F180&lt;&gt;"Hecho","Pendiente",IF(AND(J180&lt;&gt;"",ISNUMBER(K180),L180="Aprobada"),"Verificado","Falta evidencia o revisión")))</x:f>
      </x:c>
    </x:row>
    <x:row r="181">
      <x:c r="E181" s="13"/>
      <x:c r="F181" s="13"/>
      <x:c r="H181" s="17"/>
      <x:c r="J181" s="13"/>
      <x:c r="K181" s="15"/>
      <x:c r="L181" s="13"/>
      <x:c r="M181" s="15"/>
      <x:c r="N181" t="str">
        <x:f>IF(A181="","",F181&amp;"_"&amp;COUNTIFS($F$6:F181,F181,$A$6:A181,"&lt;&gt;"))</x:f>
      </x:c>
      <x:c r="O181" t="str">
        <x:f>IF(A181="","",IF(F181&lt;&gt;"Hecho","Pendiente",IF(AND(J181&lt;&gt;"",ISNUMBER(K181),L181="Aprobada"),"Verificado","Falta evidencia o revisión")))</x:f>
      </x:c>
    </x:row>
    <x:row r="182">
      <x:c r="E182" s="13"/>
      <x:c r="F182" s="13"/>
      <x:c r="H182" s="17"/>
      <x:c r="J182" s="13"/>
      <x:c r="K182" s="15"/>
      <x:c r="L182" s="13"/>
      <x:c r="M182" s="15"/>
      <x:c r="N182" t="str">
        <x:f>IF(A182="","",F182&amp;"_"&amp;COUNTIFS($F$6:F182,F182,$A$6:A182,"&lt;&gt;"))</x:f>
      </x:c>
      <x:c r="O182" t="str">
        <x:f>IF(A182="","",IF(F182&lt;&gt;"Hecho","Pendiente",IF(AND(J182&lt;&gt;"",ISNUMBER(K182),L182="Aprobada"),"Verificado","Falta evidencia o revisión")))</x:f>
      </x:c>
    </x:row>
    <x:row r="183">
      <x:c r="E183" s="13"/>
      <x:c r="F183" s="13"/>
      <x:c r="H183" s="17"/>
      <x:c r="J183" s="13"/>
      <x:c r="K183" s="15"/>
      <x:c r="L183" s="13"/>
      <x:c r="M183" s="15"/>
      <x:c r="N183" t="str">
        <x:f>IF(A183="","",F183&amp;"_"&amp;COUNTIFS($F$6:F183,F183,$A$6:A183,"&lt;&gt;"))</x:f>
      </x:c>
      <x:c r="O183" t="str">
        <x:f>IF(A183="","",IF(F183&lt;&gt;"Hecho","Pendiente",IF(AND(J183&lt;&gt;"",ISNUMBER(K183),L183="Aprobada"),"Verificado","Falta evidencia o revisión")))</x:f>
      </x:c>
    </x:row>
    <x:row r="184">
      <x:c r="E184" s="13"/>
      <x:c r="F184" s="13"/>
      <x:c r="H184" s="17"/>
      <x:c r="J184" s="13"/>
      <x:c r="K184" s="15"/>
      <x:c r="L184" s="13"/>
      <x:c r="M184" s="15"/>
      <x:c r="N184" t="str">
        <x:f>IF(A184="","",F184&amp;"_"&amp;COUNTIFS($F$6:F184,F184,$A$6:A184,"&lt;&gt;"))</x:f>
      </x:c>
      <x:c r="O184" t="str">
        <x:f>IF(A184="","",IF(F184&lt;&gt;"Hecho","Pendiente",IF(AND(J184&lt;&gt;"",ISNUMBER(K184),L184="Aprobada"),"Verificado","Falta evidencia o revisión")))</x:f>
      </x:c>
    </x:row>
    <x:row r="185">
      <x:c r="E185" s="13"/>
      <x:c r="F185" s="13"/>
      <x:c r="H185" s="17"/>
      <x:c r="J185" s="13"/>
      <x:c r="K185" s="15"/>
      <x:c r="L185" s="13"/>
      <x:c r="M185" s="15"/>
      <x:c r="N185" t="str">
        <x:f>IF(A185="","",F185&amp;"_"&amp;COUNTIFS($F$6:F185,F185,$A$6:A185,"&lt;&gt;"))</x:f>
      </x:c>
      <x:c r="O185" t="str">
        <x:f>IF(A185="","",IF(F185&lt;&gt;"Hecho","Pendiente",IF(AND(J185&lt;&gt;"",ISNUMBER(K185),L185="Aprobada"),"Verificado","Falta evidencia o revisión")))</x:f>
      </x:c>
    </x:row>
    <x:row r="186">
      <x:c r="E186" s="13"/>
      <x:c r="F186" s="13"/>
      <x:c r="H186" s="17"/>
      <x:c r="J186" s="13"/>
      <x:c r="K186" s="15"/>
      <x:c r="L186" s="13"/>
      <x:c r="M186" s="15"/>
      <x:c r="N186" t="str">
        <x:f>IF(A186="","",F186&amp;"_"&amp;COUNTIFS($F$6:F186,F186,$A$6:A186,"&lt;&gt;"))</x:f>
      </x:c>
      <x:c r="O186" t="str">
        <x:f>IF(A186="","",IF(F186&lt;&gt;"Hecho","Pendiente",IF(AND(J186&lt;&gt;"",ISNUMBER(K186),L186="Aprobada"),"Verificado","Falta evidencia o revisión")))</x:f>
      </x:c>
    </x:row>
    <x:row r="187">
      <x:c r="E187" s="13"/>
      <x:c r="F187" s="13"/>
      <x:c r="H187" s="17"/>
      <x:c r="J187" s="13"/>
      <x:c r="K187" s="15"/>
      <x:c r="L187" s="13"/>
      <x:c r="M187" s="15"/>
      <x:c r="N187" t="str">
        <x:f>IF(A187="","",F187&amp;"_"&amp;COUNTIFS($F$6:F187,F187,$A$6:A187,"&lt;&gt;"))</x:f>
      </x:c>
      <x:c r="O187" t="str">
        <x:f>IF(A187="","",IF(F187&lt;&gt;"Hecho","Pendiente",IF(AND(J187&lt;&gt;"",ISNUMBER(K187),L187="Aprobada"),"Verificado","Falta evidencia o revisión")))</x:f>
      </x:c>
    </x:row>
    <x:row r="188">
      <x:c r="E188" s="13"/>
      <x:c r="F188" s="13"/>
      <x:c r="H188" s="17"/>
      <x:c r="J188" s="13"/>
      <x:c r="K188" s="15"/>
      <x:c r="L188" s="13"/>
      <x:c r="M188" s="15"/>
      <x:c r="N188" t="str">
        <x:f>IF(A188="","",F188&amp;"_"&amp;COUNTIFS($F$6:F188,F188,$A$6:A188,"&lt;&gt;"))</x:f>
      </x:c>
      <x:c r="O188" t="str">
        <x:f>IF(A188="","",IF(F188&lt;&gt;"Hecho","Pendiente",IF(AND(J188&lt;&gt;"",ISNUMBER(K188),L188="Aprobada"),"Verificado","Falta evidencia o revisión")))</x:f>
      </x:c>
    </x:row>
    <x:row r="189">
      <x:c r="E189" s="13"/>
      <x:c r="F189" s="13"/>
      <x:c r="H189" s="17"/>
      <x:c r="J189" s="13"/>
      <x:c r="K189" s="15"/>
      <x:c r="L189" s="13"/>
      <x:c r="M189" s="15"/>
      <x:c r="N189" t="str">
        <x:f>IF(A189="","",F189&amp;"_"&amp;COUNTIFS($F$6:F189,F189,$A$6:A189,"&lt;&gt;"))</x:f>
      </x:c>
      <x:c r="O189" t="str">
        <x:f>IF(A189="","",IF(F189&lt;&gt;"Hecho","Pendiente",IF(AND(J189&lt;&gt;"",ISNUMBER(K189),L189="Aprobada"),"Verificado","Falta evidencia o revisión")))</x:f>
      </x:c>
    </x:row>
    <x:row r="190">
      <x:c r="E190" s="13"/>
      <x:c r="F190" s="13"/>
      <x:c r="H190" s="17"/>
      <x:c r="J190" s="13"/>
      <x:c r="K190" s="15"/>
      <x:c r="L190" s="13"/>
      <x:c r="M190" s="15"/>
      <x:c r="N190" t="str">
        <x:f>IF(A190="","",F190&amp;"_"&amp;COUNTIFS($F$6:F190,F190,$A$6:A190,"&lt;&gt;"))</x:f>
      </x:c>
      <x:c r="O190" t="str">
        <x:f>IF(A190="","",IF(F190&lt;&gt;"Hecho","Pendiente",IF(AND(J190&lt;&gt;"",ISNUMBER(K190),L190="Aprobada"),"Verificado","Falta evidencia o revisión")))</x:f>
      </x:c>
    </x:row>
    <x:row r="191">
      <x:c r="E191" s="13"/>
      <x:c r="F191" s="13"/>
      <x:c r="H191" s="17"/>
      <x:c r="J191" s="13"/>
      <x:c r="K191" s="15"/>
      <x:c r="L191" s="13"/>
      <x:c r="M191" s="15"/>
      <x:c r="N191" t="str">
        <x:f>IF(A191="","",F191&amp;"_"&amp;COUNTIFS($F$6:F191,F191,$A$6:A191,"&lt;&gt;"))</x:f>
      </x:c>
      <x:c r="O191" t="str">
        <x:f>IF(A191="","",IF(F191&lt;&gt;"Hecho","Pendiente",IF(AND(J191&lt;&gt;"",ISNUMBER(K191),L191="Aprobada"),"Verificado","Falta evidencia o revisión")))</x:f>
      </x:c>
    </x:row>
    <x:row r="192">
      <x:c r="E192" s="13"/>
      <x:c r="F192" s="13"/>
      <x:c r="H192" s="17"/>
      <x:c r="J192" s="13"/>
      <x:c r="K192" s="15"/>
      <x:c r="L192" s="13"/>
      <x:c r="M192" s="15"/>
      <x:c r="N192" t="str">
        <x:f>IF(A192="","",F192&amp;"_"&amp;COUNTIFS($F$6:F192,F192,$A$6:A192,"&lt;&gt;"))</x:f>
      </x:c>
      <x:c r="O192" t="str">
        <x:f>IF(A192="","",IF(F192&lt;&gt;"Hecho","Pendiente",IF(AND(J192&lt;&gt;"",ISNUMBER(K192),L192="Aprobada"),"Verificado","Falta evidencia o revisión")))</x:f>
      </x:c>
    </x:row>
    <x:row r="193">
      <x:c r="E193" s="13"/>
      <x:c r="F193" s="13"/>
      <x:c r="H193" s="17"/>
      <x:c r="J193" s="13"/>
      <x:c r="K193" s="15"/>
      <x:c r="L193" s="13"/>
      <x:c r="M193" s="15"/>
      <x:c r="N193" t="str">
        <x:f>IF(A193="","",F193&amp;"_"&amp;COUNTIFS($F$6:F193,F193,$A$6:A193,"&lt;&gt;"))</x:f>
      </x:c>
      <x:c r="O193" t="str">
        <x:f>IF(A193="","",IF(F193&lt;&gt;"Hecho","Pendiente",IF(AND(J193&lt;&gt;"",ISNUMBER(K193),L193="Aprobada"),"Verificado","Falta evidencia o revisión")))</x:f>
      </x:c>
    </x:row>
    <x:row r="194">
      <x:c r="E194" s="13"/>
      <x:c r="F194" s="13"/>
      <x:c r="H194" s="17"/>
      <x:c r="J194" s="13"/>
      <x:c r="K194" s="15"/>
      <x:c r="L194" s="13"/>
      <x:c r="M194" s="15"/>
      <x:c r="N194" t="str">
        <x:f>IF(A194="","",F194&amp;"_"&amp;COUNTIFS($F$6:F194,F194,$A$6:A194,"&lt;&gt;"))</x:f>
      </x:c>
      <x:c r="O194" t="str">
        <x:f>IF(A194="","",IF(F194&lt;&gt;"Hecho","Pendiente",IF(AND(J194&lt;&gt;"",ISNUMBER(K194),L194="Aprobada"),"Verificado","Falta evidencia o revisión")))</x:f>
      </x:c>
    </x:row>
    <x:row r="195">
      <x:c r="E195" s="13"/>
      <x:c r="F195" s="13"/>
      <x:c r="H195" s="17"/>
      <x:c r="J195" s="13"/>
      <x:c r="K195" s="15"/>
      <x:c r="L195" s="13"/>
      <x:c r="M195" s="15"/>
      <x:c r="N195" t="str">
        <x:f>IF(A195="","",F195&amp;"_"&amp;COUNTIFS($F$6:F195,F195,$A$6:A195,"&lt;&gt;"))</x:f>
      </x:c>
      <x:c r="O195" t="str">
        <x:f>IF(A195="","",IF(F195&lt;&gt;"Hecho","Pendiente",IF(AND(J195&lt;&gt;"",ISNUMBER(K195),L195="Aprobada"),"Verificado","Falta evidencia o revisión")))</x:f>
      </x:c>
    </x:row>
    <x:row r="196">
      <x:c r="E196" s="13"/>
      <x:c r="F196" s="13"/>
      <x:c r="H196" s="17"/>
      <x:c r="J196" s="13"/>
      <x:c r="K196" s="15"/>
      <x:c r="L196" s="13"/>
      <x:c r="M196" s="15"/>
      <x:c r="N196" t="str">
        <x:f>IF(A196="","",F196&amp;"_"&amp;COUNTIFS($F$6:F196,F196,$A$6:A196,"&lt;&gt;"))</x:f>
      </x:c>
      <x:c r="O196" t="str">
        <x:f>IF(A196="","",IF(F196&lt;&gt;"Hecho","Pendiente",IF(AND(J196&lt;&gt;"",ISNUMBER(K196),L196="Aprobada"),"Verificado","Falta evidencia o revisión")))</x:f>
      </x:c>
    </x:row>
    <x:row r="197">
      <x:c r="E197" s="13"/>
      <x:c r="F197" s="13"/>
      <x:c r="H197" s="17"/>
      <x:c r="J197" s="13"/>
      <x:c r="K197" s="15"/>
      <x:c r="L197" s="13"/>
      <x:c r="M197" s="15"/>
      <x:c r="N197" t="str">
        <x:f>IF(A197="","",F197&amp;"_"&amp;COUNTIFS($F$6:F197,F197,$A$6:A197,"&lt;&gt;"))</x:f>
      </x:c>
      <x:c r="O197" t="str">
        <x:f>IF(A197="","",IF(F197&lt;&gt;"Hecho","Pendiente",IF(AND(J197&lt;&gt;"",ISNUMBER(K197),L197="Aprobada"),"Verificado","Falta evidencia o revisión")))</x:f>
      </x:c>
    </x:row>
    <x:row r="198">
      <x:c r="E198" s="13"/>
      <x:c r="F198" s="13"/>
      <x:c r="H198" s="17"/>
      <x:c r="J198" s="13"/>
      <x:c r="K198" s="15"/>
      <x:c r="L198" s="13"/>
      <x:c r="M198" s="15"/>
      <x:c r="N198" t="str">
        <x:f>IF(A198="","",F198&amp;"_"&amp;COUNTIFS($F$6:F198,F198,$A$6:A198,"&lt;&gt;"))</x:f>
      </x:c>
      <x:c r="O198" t="str">
        <x:f>IF(A198="","",IF(F198&lt;&gt;"Hecho","Pendiente",IF(AND(J198&lt;&gt;"",ISNUMBER(K198),L198="Aprobada"),"Verificado","Falta evidencia o revisión")))</x:f>
      </x:c>
    </x:row>
    <x:row r="199">
      <x:c r="E199" s="13"/>
      <x:c r="F199" s="13"/>
      <x:c r="H199" s="17"/>
      <x:c r="J199" s="13"/>
      <x:c r="K199" s="15"/>
      <x:c r="L199" s="13"/>
      <x:c r="M199" s="15"/>
      <x:c r="N199" t="str">
        <x:f>IF(A199="","",F199&amp;"_"&amp;COUNTIFS($F$6:F199,F199,$A$6:A199,"&lt;&gt;"))</x:f>
      </x:c>
      <x:c r="O199" t="str">
        <x:f>IF(A199="","",IF(F199&lt;&gt;"Hecho","Pendiente",IF(AND(J199&lt;&gt;"",ISNUMBER(K199),L199="Aprobada"),"Verificado","Falta evidencia o revisión")))</x:f>
      </x:c>
    </x:row>
    <x:row r="200">
      <x:c r="E200" s="13"/>
      <x:c r="F200" s="13"/>
      <x:c r="H200" s="17"/>
      <x:c r="J200" s="13"/>
      <x:c r="K200" s="15"/>
      <x:c r="L200" s="13"/>
      <x:c r="M200" s="15"/>
      <x:c r="N200" t="str">
        <x:f>IF(A200="","",F200&amp;"_"&amp;COUNTIFS($F$6:F200,F200,$A$6:A200,"&lt;&gt;"))</x:f>
      </x:c>
      <x:c r="O200" t="str">
        <x:f>IF(A200="","",IF(F200&lt;&gt;"Hecho","Pendiente",IF(AND(J200&lt;&gt;"",ISNUMBER(K200),L200="Aprobada"),"Verificado","Falta evidencia o revisión")))</x:f>
      </x:c>
    </x:row>
    <x:row r="201">
      <x:c r="E201" s="13"/>
      <x:c r="F201" s="13"/>
      <x:c r="H201" s="17"/>
      <x:c r="J201" s="13"/>
      <x:c r="K201" s="15"/>
      <x:c r="L201" s="13"/>
      <x:c r="M201" s="15"/>
      <x:c r="N201" t="str">
        <x:f>IF(A201="","",F201&amp;"_"&amp;COUNTIFS($F$6:F201,F201,$A$6:A201,"&lt;&gt;"))</x:f>
      </x:c>
      <x:c r="O201" t="str">
        <x:f>IF(A201="","",IF(F201&lt;&gt;"Hecho","Pendiente",IF(AND(J201&lt;&gt;"",ISNUMBER(K201),L201="Aprobada"),"Verificado","Falta evidencia o revisión")))</x:f>
      </x:c>
    </x:row>
    <x:row r="202">
      <x:c r="E202" s="13"/>
      <x:c r="F202" s="13"/>
      <x:c r="H202" s="17"/>
      <x:c r="J202" s="13"/>
      <x:c r="K202" s="15"/>
      <x:c r="L202" s="13"/>
      <x:c r="M202" s="15"/>
      <x:c r="N202" t="str">
        <x:f>IF(A202="","",F202&amp;"_"&amp;COUNTIFS($F$6:F202,F202,$A$6:A202,"&lt;&gt;"))</x:f>
      </x:c>
      <x:c r="O202" t="str">
        <x:f>IF(A202="","",IF(F202&lt;&gt;"Hecho","Pendiente",IF(AND(J202&lt;&gt;"",ISNUMBER(K202),L202="Aprobada"),"Verificado","Falta evidencia o revisión")))</x:f>
      </x:c>
    </x:row>
    <x:row r="203">
      <x:c r="E203" s="13"/>
      <x:c r="F203" s="13"/>
      <x:c r="H203" s="17"/>
      <x:c r="J203" s="13"/>
      <x:c r="K203" s="15"/>
      <x:c r="L203" s="13"/>
      <x:c r="M203" s="15"/>
      <x:c r="N203" t="str">
        <x:f>IF(A203="","",F203&amp;"_"&amp;COUNTIFS($F$6:F203,F203,$A$6:A203,"&lt;&gt;"))</x:f>
      </x:c>
      <x:c r="O203" t="str">
        <x:f>IF(A203="","",IF(F203&lt;&gt;"Hecho","Pendiente",IF(AND(J203&lt;&gt;"",ISNUMBER(K203),L203="Aprobada"),"Verificado","Falta evidencia o revisión")))</x:f>
      </x:c>
    </x:row>
    <x:row r="204">
      <x:c r="E204" s="13"/>
      <x:c r="F204" s="13"/>
      <x:c r="H204" s="17"/>
      <x:c r="J204" s="13"/>
      <x:c r="K204" s="15"/>
      <x:c r="L204" s="13"/>
      <x:c r="M204" s="15"/>
      <x:c r="N204" t="str">
        <x:f>IF(A204="","",F204&amp;"_"&amp;COUNTIFS($F$6:F204,F204,$A$6:A204,"&lt;&gt;"))</x:f>
      </x:c>
      <x:c r="O204" t="str">
        <x:f>IF(A204="","",IF(F204&lt;&gt;"Hecho","Pendiente",IF(AND(J204&lt;&gt;"",ISNUMBER(K204),L204="Aprobada"),"Verificado","Falta evidencia o revisión")))</x:f>
      </x:c>
    </x:row>
    <x:row r="205">
      <x:c r="E205" s="13"/>
      <x:c r="F205" s="13"/>
      <x:c r="H205" s="17"/>
      <x:c r="J205" s="13"/>
      <x:c r="K205" s="15"/>
      <x:c r="L205" s="13"/>
      <x:c r="M205" s="15"/>
      <x:c r="N205" t="str">
        <x:f>IF(A205="","",F205&amp;"_"&amp;COUNTIFS($F$6:F205,F205,$A$6:A205,"&lt;&gt;"))</x:f>
      </x:c>
      <x:c r="O205" t="str">
        <x:f>IF(A205="","",IF(F205&lt;&gt;"Hecho","Pendiente",IF(AND(J205&lt;&gt;"",ISNUMBER(K205),L205="Aprobada"),"Verificado","Falta evidencia o revisión")))</x:f>
      </x:c>
    </x:row>
  </x:sheetData>
  <x:conditionalFormatting sqref="O6:O205">
    <x:cfRule type="containsText" dxfId="0" priority="1" operator="containsText" text="Falta"/>
  </x:conditionalFormatting>
  <x:conditionalFormatting sqref="F6:F205">
    <x:cfRule type="containsText" dxfId="1" priority="2" operator="containsText" text="Bloqueado"/>
    <x:cfRule type="containsText" dxfId="2" priority="3" operator="containsText" text="En curso"/>
    <x:cfRule type="containsText" dxfId="3" priority="4" operator="containsText" text="Hecho"/>
  </x:conditionalFormatting>
  <x:dataValidations count="3">
    <x:dataValidation type="list" sqref="F6:F205">
      <x:formula1>"Backlog,Por hacer,En curso,En revisión,Hecho,Bloqueado"</x:formula1>
    </x:dataValidation>
    <x:dataValidation type="list" sqref="D6:D205">
      <x:formula1>"S1,S2,S3,Futuro"</x:formula1>
    </x:dataValidation>
    <x:dataValidation type="list" sqref="L6:L205">
      <x:formula1>"Pendiente,Aprobada,Con observaciones"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a151057c7eec42ae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1" hidden="0" customWidth="1"/>
    <x:col min="2" max="2" width="24" hidden="0" customWidth="1"/>
    <x:col min="3" max="3" width="75" hidden="0" customWidth="1"/>
    <x:col min="4" max="4" width="40" hidden="0" customWidth="1"/>
    <x:col min="5" max="5" width="18" hidden="0" customWidth="1"/>
    <x:col min="6" max="6" width="18" hidden="0" customWidth="1"/>
    <x:col min="7" max="7" width="23" hidden="0" customWidth="1"/>
    <x:col min="8" max="8" width="37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</x:row>
    <x:row r="2" ht="27" customHeight="1">
      <x:c r="A2" s="2" t="str">
        <x:v>Product Backlog</x:v>
      </x:c>
      <x:c r="B2" s="1"/>
      <x:c r="C2" s="1"/>
      <x:c r="D2" s="1"/>
      <x:c r="E2" s="1"/>
      <x:c r="F2" s="1"/>
      <x:c r="G2" s="1"/>
      <x:c r="H2" s="1"/>
    </x:row>
    <x:row r="3">
      <x:c r="A3" s="3" t="str">
        <x:v>Orden propuesto por sprint. Puntos, prioridad final y responsables se acuerdan en Planning; criterios detallados en Requisitos.</x:v>
      </x:c>
      <x:c r="B3" s="1"/>
      <x:c r="C3" s="1"/>
      <x:c r="D3" s="1"/>
      <x:c r="E3" s="1"/>
      <x:c r="F3" s="1"/>
      <x:c r="G3" s="1"/>
      <x:c r="H3" s="1"/>
    </x:row>
    <x:row r="4">
      <x:c r="A4" s="1"/>
      <x:c r="B4" s="1"/>
      <x:c r="C4" s="1"/>
      <x:c r="D4" s="1"/>
      <x:c r="E4" s="1"/>
      <x:c r="F4" s="1"/>
      <x:c r="G4" s="1"/>
      <x:c r="H4" s="1"/>
    </x:row>
    <x:row r="5" ht="32" customHeight="1">
      <x:c r="A5" s="8" t="str">
        <x:v>ID</x:v>
      </x:c>
      <x:c r="B5" s="8" t="str">
        <x:v>Épica</x:v>
      </x:c>
      <x:c r="C5" s="8" t="str">
        <x:v>Historia de usuario</x:v>
      </x:c>
      <x:c r="D5" s="8" t="str">
        <x:v>Requisitos</x:v>
      </x:c>
      <x:c r="E5" s="8" t="str">
        <x:v>Sprint propuesto</x:v>
      </x:c>
      <x:c r="F5" s="8" t="str">
        <x:v>Puntos estimados</x:v>
      </x:c>
      <x:c r="G5" s="8" t="str">
        <x:v>Responsable</x:v>
      </x:c>
      <x:c r="H5" s="8" t="str">
        <x:v>Tareas vinculadas</x:v>
      </x:c>
    </x:row>
    <x:row r="6" ht="44" customHeight="1">
      <x:c r="A6" s="11" t="str">
        <x:v>HU-01</x:v>
      </x:c>
      <x:c r="B6" s="11" t="str">
        <x:v>Acceso</x:v>
      </x:c>
      <x:c r="C6" s="11" t="str">
        <x:v>Como usuario quiero entrar a mi panel y cerrar mi sesión para acceder con mi rol.</x:v>
      </x:c>
      <x:c r="D6" s="11" t="str">
        <x:v>RF-02; RF-03; RNF-01; RNF-04</x:v>
      </x:c>
      <x:c r="E6" s="11" t="str">
        <x:v>S1</x:v>
      </x:c>
      <x:c r="F6" s="12"/>
      <x:c r="G6" s="12" t="str">
        <x:v>Por asignar</x:v>
      </x:c>
      <x:c r="H6" s="11" t="str">
        <x:v>T-01; T-02; T-03</x:v>
      </x:c>
    </x:row>
    <x:row r="7" ht="44" customHeight="1">
      <x:c r="A7" s="10" t="str">
        <x:v>HU-02</x:v>
      </x:c>
      <x:c r="B7" s="10" t="str">
        <x:v>Solicitud</x:v>
      </x:c>
      <x:c r="C7" s="10" t="str">
        <x:v>Como cliente quiero elegir un servicio y consultar mi solicitud para conocer su estado.</x:v>
      </x:c>
      <x:c r="D7" s="10" t="str">
        <x:v>RF-04; RF-05; RF-06</x:v>
      </x:c>
      <x:c r="E7" s="10" t="str">
        <x:v>S1</x:v>
      </x:c>
      <x:c r="F7" s="12"/>
      <x:c r="G7" s="12" t="str">
        <x:v>Por asignar</x:v>
      </x:c>
      <x:c r="H7" s="10" t="str">
        <x:v>T-04; T-05</x:v>
      </x:c>
    </x:row>
    <x:row r="8" ht="44" customHeight="1">
      <x:c r="A8" s="11" t="str">
        <x:v>HU-03</x:v>
      </x:c>
      <x:c r="B8" s="11" t="str">
        <x:v>Pagos manuales</x:v>
      </x:c>
      <x:c r="C8" s="11" t="str">
        <x:v>Como cliente quiero informar mi transferencia y como Finanzas revisarla para habilitar la redacción tras verificar el abono.</x:v>
      </x:c>
      <x:c r="D8" s="11" t="str">
        <x:v>RF-11; RF-12; RNF-02; RNF-03; RNF-08</x:v>
      </x:c>
      <x:c r="E8" s="11" t="str">
        <x:v>S1</x:v>
      </x:c>
      <x:c r="F8" s="12"/>
      <x:c r="G8" s="12" t="str">
        <x:v>Por asignar</x:v>
      </x:c>
      <x:c r="H8" s="11" t="str">
        <x:v>T-06; T-07; T-08; T-09</x:v>
      </x:c>
    </x:row>
    <x:row r="9" ht="44" customHeight="1">
      <x:c r="A9" s="10" t="str">
        <x:v>HU-04</x:v>
      </x:c>
      <x:c r="B9" s="10" t="str">
        <x:v>Asignación</x:v>
      </x:c>
      <x:c r="C9" s="10" t="str">
        <x:v>Como administrador quiero asignar trámites para que un comercial gestione su cartera.</x:v>
      </x:c>
      <x:c r="D9" s="10" t="str">
        <x:v>RF-07</x:v>
      </x:c>
      <x:c r="E9" s="10" t="str">
        <x:v>S2</x:v>
      </x:c>
      <x:c r="F9" s="12"/>
      <x:c r="G9" s="12" t="str">
        <x:v>Por asignar</x:v>
      </x:c>
      <x:c r="H9" s="10" t="str">
        <x:v>T-10</x:v>
      </x:c>
    </x:row>
    <x:row r="10" ht="44" customHeight="1">
      <x:c r="A10" s="11" t="str">
        <x:v>HU-05</x:v>
      </x:c>
      <x:c r="B10" s="11" t="str">
        <x:v>Redacción</x:v>
      </x:c>
      <x:c r="C10" s="11" t="str">
        <x:v>Como cliente o comercial asignado quiero redactar desde una plantilla y guardar versiones para corregir sin perder el historial.</x:v>
      </x:c>
      <x:c r="D10" s="11" t="str">
        <x:v>RF-14; RF-15</x:v>
      </x:c>
      <x:c r="E10" s="11" t="str">
        <x:v>S2</x:v>
      </x:c>
      <x:c r="F10" s="12"/>
      <x:c r="G10" s="12" t="str">
        <x:v>Por asignar</x:v>
      </x:c>
      <x:c r="H10" s="11" t="str">
        <x:v>T-11</x:v>
      </x:c>
    </x:row>
    <x:row r="11" ht="44" customHeight="1">
      <x:c r="A11" s="10" t="str">
        <x:v>HU-06</x:v>
      </x:c>
      <x:c r="B11" s="10" t="str">
        <x:v>Revisión</x:v>
      </x:c>
      <x:c r="C11" s="10" t="str">
        <x:v>Como comercial quiero observar o aprobar el borrador para cerrar internamente los casos que no requieren firma.</x:v>
      </x:c>
      <x:c r="D11" s="10" t="str">
        <x:v>RF-16; RF-20</x:v>
      </x:c>
      <x:c r="E11" s="10" t="str">
        <x:v>S2</x:v>
      </x:c>
      <x:c r="F11" s="12"/>
      <x:c r="G11" s="12" t="str">
        <x:v>Por asignar</x:v>
      </x:c>
      <x:c r="H11" s="10" t="str">
        <x:v>T-12; T-15</x:v>
      </x:c>
    </x:row>
    <x:row r="12" ht="44" customHeight="1">
      <x:c r="A12" s="11" t="str">
        <x:v>HU-07</x:v>
      </x:c>
      <x:c r="B12" s="11" t="str">
        <x:v>Archivos</x:v>
      </x:c>
      <x:c r="C12" s="11" t="str">
        <x:v>Como cliente quiero adjuntar antecedentes y descargarlos con acceso privado para respaldar mi trámite.</x:v>
      </x:c>
      <x:c r="D12" s="11" t="str">
        <x:v>RF-17</x:v>
      </x:c>
      <x:c r="E12" s="11" t="str">
        <x:v>S2</x:v>
      </x:c>
      <x:c r="F12" s="12"/>
      <x:c r="G12" s="12" t="str">
        <x:v>Por asignar</x:v>
      </x:c>
      <x:c r="H12" s="11" t="str">
        <x:v>T-13</x:v>
      </x:c>
    </x:row>
    <x:row r="13" ht="44" customHeight="1">
      <x:c r="A13" s="10" t="str">
        <x:v>HU-08</x:v>
      </x:c>
      <x:c r="B13" s="10" t="str">
        <x:v>Registro</x:v>
      </x:c>
      <x:c r="C13" s="10" t="str">
        <x:v>Como visitante quiero registrarme como cliente para iniciar solicitudes.</x:v>
      </x:c>
      <x:c r="D13" s="10" t="str">
        <x:v>RF-01</x:v>
      </x:c>
      <x:c r="E13" s="10" t="str">
        <x:v>S2</x:v>
      </x:c>
      <x:c r="F13" s="12"/>
      <x:c r="G13" s="12" t="str">
        <x:v>Por asignar</x:v>
      </x:c>
      <x:c r="H13" s="10" t="str">
        <x:v>T-14</x:v>
      </x:c>
    </x:row>
    <x:row r="14" ht="44" customHeight="1">
      <x:c r="A14" s="11" t="str">
        <x:v>HU-09</x:v>
      </x:c>
      <x:c r="B14" s="11" t="str">
        <x:v>Administración</x:v>
      </x:c>
      <x:c r="C14" s="11" t="str">
        <x:v>Como administrador quiero gestionar cuentas y como comercial buscar clientes para atender sus solicitudes.</x:v>
      </x:c>
      <x:c r="D14" s="11" t="str">
        <x:v>RF-08; RF-09</x:v>
      </x:c>
      <x:c r="E14" s="11" t="str">
        <x:v>S3</x:v>
      </x:c>
      <x:c r="F14" s="12"/>
      <x:c r="G14" s="12" t="str">
        <x:v>Por asignar</x:v>
      </x:c>
      <x:c r="H14" s="11" t="str">
        <x:v>T-16</x:v>
      </x:c>
    </x:row>
    <x:row r="15" ht="44" customHeight="1">
      <x:c r="A15" s="10" t="str">
        <x:v>HU-10</x:v>
      </x:c>
      <x:c r="B15" s="10" t="str">
        <x:v>Seguimiento</x:v>
      </x:c>
      <x:c r="C15" s="10" t="str">
        <x:v>Como usuario quiero ver avisos propios y como administrador consultar auditoría e indicadores para seguir la operación.</x:v>
      </x:c>
      <x:c r="D15" s="10" t="str">
        <x:v>RF-10; RF-18; RF-19</x:v>
      </x:c>
      <x:c r="E15" s="10" t="str">
        <x:v>S3</x:v>
      </x:c>
      <x:c r="F15" s="12"/>
      <x:c r="G15" s="12" t="str">
        <x:v>Por asignar</x:v>
      </x:c>
      <x:c r="H15" s="10" t="str">
        <x:v>T-17</x:v>
      </x:c>
    </x:row>
    <x:row r="16" ht="44" customHeight="1">
      <x:c r="A16" s="11" t="str">
        <x:v>HU-11</x:v>
      </x:c>
      <x:c r="B16" s="11" t="str">
        <x:v>Finanzas</x:v>
      </x:c>
      <x:c r="C16" s="11" t="str">
        <x:v>Como Finanzas quiero reportes y comprobantes internos para conciliar pagos aprobados.</x:v>
      </x:c>
      <x:c r="D16" s="11" t="str">
        <x:v>RF-13; RF-19</x:v>
      </x:c>
      <x:c r="E16" s="11" t="str">
        <x:v>S3</x:v>
      </x:c>
      <x:c r="F16" s="12"/>
      <x:c r="G16" s="12" t="str">
        <x:v>Por asignar</x:v>
      </x:c>
      <x:c r="H16" s="11" t="str">
        <x:v>T-18</x:v>
      </x:c>
    </x:row>
    <x:row r="17" ht="44" customHeight="1">
      <x:c r="A17" s="10" t="str">
        <x:v>HU-12</x:v>
      </x:c>
      <x:c r="B17" s="10" t="str">
        <x:v>Operación</x:v>
      </x:c>
      <x:c r="C17" s="10" t="str">
        <x:v>Como equipo quiero un sistema reproducible, usable y recuperable para demostrar y mantener el incremento.</x:v>
      </x:c>
      <x:c r="D17" s="10" t="str">
        <x:v>RNF-05; RNF-06; RNF-07; RNF-08</x:v>
      </x:c>
      <x:c r="E17" s="10" t="str">
        <x:v>S3</x:v>
      </x:c>
      <x:c r="F17" s="12"/>
      <x:c r="G17" s="12" t="str">
        <x:v>Por asignar</x:v>
      </x:c>
      <x:c r="H17" s="10" t="str">
        <x:v>T-19; T-20</x:v>
      </x:c>
    </x:row>
    <x:row r="18" ht="44" customHeight="1">
      <x:c r="A18" s="11" t="str">
        <x:v>HU-13</x:v>
      </x:c>
      <x:c r="B18" s="11" t="str">
        <x:v>Firma externa</x:v>
      </x:c>
      <x:c r="C18" s="11" t="str">
        <x:v>Como cliente quiero recibir el documento firmado cuando el servicio exige FEA.</x:v>
      </x:c>
      <x:c r="D18" s="11" t="str">
        <x:v>RF-21</x:v>
      </x:c>
      <x:c r="E18" s="11" t="str">
        <x:v>Futuro</x:v>
      </x:c>
      <x:c r="F18" s="12"/>
      <x:c r="G18" s="12" t="str">
        <x:v>Por asignar</x:v>
      </x:c>
      <x:c r="H18" s="11" t="str">
        <x:v>T-21</x:v>
      </x:c>
    </x:row>
    <x:row r="19" ht="44" customHeight="1">
      <x:c r="A19" s="10" t="str">
        <x:v>HU-14</x:v>
      </x:c>
      <x:c r="B19" s="10" t="str">
        <x:v>Pago externo</x:v>
      </x:c>
      <x:c r="C19" s="10" t="str">
        <x:v>Como cliente quiero pagar electrónicamente si el negocio incorpora Webpay.</x:v>
      </x:c>
      <x:c r="D19" s="10" t="str">
        <x:v>RF-22</x:v>
      </x:c>
      <x:c r="E19" s="10" t="str">
        <x:v>Futuro</x:v>
      </x:c>
      <x:c r="F19" s="12"/>
      <x:c r="G19" s="12" t="str">
        <x:v>Por asignar</x:v>
      </x:c>
      <x:c r="H19" s="10" t="str">
        <x:v>T-22</x:v>
      </x:c>
    </x:row>
    <x:row r="20" ht="44" customHeight="1">
      <x:c r="A20" s="11" t="str">
        <x:v>HU-15</x:v>
      </x:c>
      <x:c r="B20" s="11" t="str">
        <x:v>Documento final</x:v>
      </x:c>
      <x:c r="C20" s="11" t="str">
        <x:v>Como cliente quiero descargar el documento final generado con la plantilla del servicio.</x:v>
      </x:c>
      <x:c r="D20" s="11" t="str">
        <x:v>RF-23</x:v>
      </x:c>
      <x:c r="E20" s="11" t="str">
        <x:v>Futuro</x:v>
      </x:c>
      <x:c r="F20" s="12"/>
      <x:c r="G20" s="12" t="str">
        <x:v>Por asignar</x:v>
      </x:c>
      <x:c r="H20" s="11" t="str">
        <x:v>T-23</x:v>
      </x:c>
    </x:row>
    <x:row r="21" ht="44" customHeight="1">
      <x:c r="A21" s="10" t="str">
        <x:v>HU-16</x:v>
      </x:c>
      <x:c r="B21" s="10" t="str">
        <x:v>Recuperación</x:v>
      </x:c>
      <x:c r="C21" s="10" t="str">
        <x:v>Como usuario quiero recuperar acceso sin conocer mi contraseña anterior.</x:v>
      </x:c>
      <x:c r="D21" s="10" t="str">
        <x:v>RF-24</x:v>
      </x:c>
      <x:c r="E21" s="10" t="str">
        <x:v>Futuro</x:v>
      </x:c>
      <x:c r="F21" s="12"/>
      <x:c r="G21" s="12" t="str">
        <x:v>Por asignar</x:v>
      </x:c>
      <x:c r="H21" s="10" t="str">
        <x:v>T-24</x:v>
      </x:c>
    </x:row>
  </x:sheetData>
  <x:pageMargins left="0.7" right="0.7" top="0.75" bottom="0.75" header="0.3" footer="0.3"/>
  <x:tableParts count="1">
    <x:tablePart xmlns:r="http://schemas.openxmlformats.org/officeDocument/2006/relationships" r:id="R9313ae689cb14d79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17" hidden="0" customWidth="1"/>
    <x:col min="3" max="3" width="35" hidden="0" customWidth="1"/>
    <x:col min="4" max="4" width="31" hidden="0" customWidth="1"/>
    <x:col min="5" max="5" width="85" hidden="0" customWidth="1"/>
    <x:col min="6" max="6" width="18" hidden="0" customWidth="1"/>
    <x:col min="7" max="7" width="12" hidden="0" customWidth="1"/>
    <x:col min="8" max="8" width="34" hidden="0" customWidth="1"/>
    <x:col min="9" max="9" width="38" hidden="0" customWidth="1"/>
    <x:col min="10" max="10" width="90" hidden="0" customWidth="1"/>
    <x:col min="11" max="11" width="50" hidden="0" customWidth="1"/>
    <x:col min="12" max="12" width="68" hidden="0" customWidth="1"/>
    <x:col min="13" max="13" width="30" hidden="0" customWidth="1"/>
    <x:col min="14" max="14" width="28" hidden="0" customWidth="1"/>
    <x:col min="15" max="15" width="26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</x:row>
    <x:row r="2" ht="27" customHeight="1">
      <x:c r="A2" s="2" t="str">
        <x:v>Matriz de requerimientos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</x:row>
    <x:row r="3">
      <x:c r="A3" s="3" t="str">
        <x:v>Línea base 10/10/2026. Propuesta sin aprobación del negocio; código presente no significa probado. Fuentes y criterios por fila.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  <x:c r="M3" s="1"/>
      <x:c r="N3" s="1"/>
      <x:c r="O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</x:row>
    <x:row r="5" ht="32" customHeight="1">
      <x:c r="A5" s="8" t="str">
        <x:v>ID</x:v>
      </x:c>
      <x:c r="B5" s="8" t="str">
        <x:v>Tipo</x:v>
      </x:c>
      <x:c r="C5" s="8" t="str">
        <x:v>Nombre</x:v>
      </x:c>
      <x:c r="D5" s="8" t="str">
        <x:v>Actor</x:v>
      </x:c>
      <x:c r="E5" s="8" t="str">
        <x:v>Especificación</x:v>
      </x:c>
      <x:c r="F5" s="8" t="str">
        <x:v>Prioridad</x:v>
      </x:c>
      <x:c r="G5" s="8" t="str">
        <x:v>Sprint</x:v>
      </x:c>
      <x:c r="H5" s="8" t="str">
        <x:v>Backend observado</x:v>
      </x:c>
      <x:c r="I5" s="8" t="str">
        <x:v>Frontend observado</x:v>
      </x:c>
      <x:c r="J5" s="8" t="str">
        <x:v>Criterio de aceptación</x:v>
      </x:c>
      <x:c r="K5" s="8" t="str">
        <x:v>Dependencia</x:v>
      </x:c>
      <x:c r="L5" s="8" t="str">
        <x:v>Fuente o evidencia</x:v>
      </x:c>
      <x:c r="M5" s="8" t="str">
        <x:v>Historias</x:v>
      </x:c>
      <x:c r="N5" s="8" t="str">
        <x:v>Pruebas</x:v>
      </x:c>
      <x:c r="O5" s="8" t="str">
        <x:v>Validación del negocio</x:v>
      </x:c>
    </x:row>
    <x:row r="6" ht="62" customHeight="1">
      <x:c r="A6" s="11" t="str">
        <x:v>RF-01</x:v>
      </x:c>
      <x:c r="B6" s="11" t="str">
        <x:v>Funcional</x:v>
      </x:c>
      <x:c r="C6" s="11" t="str">
        <x:v>Registro de clientes</x:v>
      </x:c>
      <x:c r="D6" s="11" t="str">
        <x:v>Visitante</x:v>
      </x:c>
      <x:c r="E6" s="11" t="str">
        <x:v>El sistema deberá registrar nombre, correo y contraseña; el RUT será opcional en esta base y se validará si se informa. El registro público asignará exclusivamente el rol cliente.</x:v>
      </x:c>
      <x:c r="F6" s="11" t="str">
        <x:v>Alta</x:v>
      </x:c>
      <x:c r="G6" s="11" t="str">
        <x:v>S2</x:v>
      </x:c>
      <x:c r="H6" s="11" t="str">
        <x:v>Código presente; sin prueba funcional</x:v>
      </x:c>
      <x:c r="I6" s="11" t="str">
        <x:v>Sin formulario</x:v>
      </x:c>
      <x:c r="J6" s="11" t="str">
        <x:v>Un correo nuevo válido obtiene 201 y perfil cliente; un correo repetido obtiene 409. Enviar tipo admin no concede privilegios.</x:v>
      </x:c>
      <x:c r="K6" s="11" t="str">
        <x:v>Validación del negocio</x:v>
      </x:c>
      <x:c r="L6" s="11" t="str">
        <x:v>backend/src/app.js: POST /api/auth/register; src/validation.js</x:v>
      </x:c>
      <x:c r="M6" s="11" t="str">
        <x:v>HU-08</x:v>
      </x:c>
      <x:c r="N6" s="11" t="str">
        <x:v>CP-01</x:v>
      </x:c>
      <x:c r="O6" s="12" t="str">
        <x:v>Pendiente</x:v>
      </x:c>
    </x:row>
    <x:row r="7" ht="62" customHeight="1">
      <x:c r="A7" s="10" t="str">
        <x:v>RF-02</x:v>
      </x:c>
      <x:c r="B7" s="10" t="str">
        <x:v>Funcional</x:v>
      </x:c>
      <x:c r="C7" s="10" t="str">
        <x:v>Inicio de sesión</x:v>
      </x:c>
      <x:c r="D7" s="10" t="str">
        <x:v>Todos los roles</x:v>
      </x:c>
      <x:c r="E7" s="10" t="str">
        <x:v>El sistema deberá autenticar usuarios activos y entregar token, vencimiento y perfil para abrir el panel correspondiente.</x:v>
      </x:c>
      <x:c r="F7" s="10" t="str">
        <x:v>Crítica</x:v>
      </x:c>
      <x:c r="G7" s="10" t="str">
        <x:v>S1</x:v>
      </x:c>
      <x:c r="H7" s="10" t="str">
        <x:v>Código presente; sin prueba funcional</x:v>
      </x:c>
      <x:c r="I7" s="10" t="str">
        <x:v>HTTP parcial; falta proveedor</x:v>
      </x:c>
      <x:c r="J7" s="10" t="str">
        <x:v>Credenciales correctas obtienen 200; incorrectas o cuenta inactiva, 401. Angular navega según perfil.tipo y distingue error de red de credenciales.</x:v>
      </x:c>
      <x:c r="K7" s="10" t="str">
        <x:v>T-02</x:v>
      </x:c>
      <x:c r="L7" s="10" t="str">
        <x:v>backend/src/app.js: POST /api/auth/login; frontend/src/app/auth.ts; app.config.ts</x:v>
      </x:c>
      <x:c r="M7" s="10" t="str">
        <x:v>HU-01</x:v>
      </x:c>
      <x:c r="N7" s="10" t="str">
        <x:v>CP-02</x:v>
      </x:c>
      <x:c r="O7" s="12" t="str">
        <x:v>Pendiente</x:v>
      </x:c>
    </x:row>
    <x:row r="8" ht="62" customHeight="1">
      <x:c r="A8" s="11" t="str">
        <x:v>RF-03</x:v>
      </x:c>
      <x:c r="B8" s="11" t="str">
        <x:v>Funcional</x:v>
      </x:c>
      <x:c r="C8" s="11" t="str">
        <x:v>Cierre y vencimiento de sesión</x:v>
      </x:c>
      <x:c r="D8" s="11" t="str">
        <x:v>Todos los roles</x:v>
      </x:c>
      <x:c r="E8" s="11" t="str">
        <x:v>El sistema deberá revocar la sesión al cerrar sesión y negar solicitudes con token vencido o revocado. Al recargar sin sesión conservada, deberá volver al login.</x:v>
      </x:c>
      <x:c r="F8" s="11" t="str">
        <x:v>Crítica</x:v>
      </x:c>
      <x:c r="G8" s="11" t="str">
        <x:v>S1</x:v>
      </x:c>
      <x:c r="H8" s="11" t="str">
        <x:v>Código presente; sin prueba funcional</x:v>
      </x:c>
      <x:c r="I8" s="11" t="str">
        <x:v>Logout solo local; sin guards</x:v>
      </x:c>
      <x:c r="J8" s="11" t="str">
        <x:v>Logout devuelve 204; reutilizar el token obtiene 401. Una ruta privada sin sesión redirige al login sin mostrar datos.</x:v>
      </x:c>
      <x:c r="K8" s="11" t="str">
        <x:v>RF-02</x:v>
      </x:c>
      <x:c r="L8" s="11" t="str">
        <x:v>backend/src/app.js: auth/me y auth/logout; frontend/src/app/auth.ts; app.routes.ts</x:v>
      </x:c>
      <x:c r="M8" s="11" t="str">
        <x:v>HU-01</x:v>
      </x:c>
      <x:c r="N8" s="11" t="str">
        <x:v>CP-02</x:v>
      </x:c>
      <x:c r="O8" s="12" t="str">
        <x:v>Pendiente</x:v>
      </x:c>
    </x:row>
    <x:row r="9" ht="62" customHeight="1">
      <x:c r="A9" s="10" t="str">
        <x:v>RF-04</x:v>
      </x:c>
      <x:c r="B9" s="10" t="str">
        <x:v>Funcional</x:v>
      </x:c>
      <x:c r="C9" s="10" t="str">
        <x:v>Catálogo de servicios</x:v>
      </x:c>
      <x:c r="D9" s="10" t="str">
        <x:v>Cliente y administrador</x:v>
      </x:c>
      <x:c r="E9" s="10" t="str">
        <x:v>El sistema deberá mostrar servicios activos con precio CLP y requisito de firma. El administrador podrá crear, modificar y desactivar servicios.</x:v>
      </x:c>
      <x:c r="F9" s="10" t="str">
        <x:v>Alta</x:v>
      </x:c>
      <x:c r="G9" s="10" t="str">
        <x:v>S1</x:v>
      </x:c>
      <x:c r="H9" s="10" t="str">
        <x:v>Código presente; sin prueba funcional</x:v>
      </x:c>
      <x:c r="I9" s="10" t="str">
        <x:v>Pendiente</x:v>
      </x:c>
      <x:c r="J9" s="10" t="str">
        <x:v>El cliente solo selecciona servicios activos. Cambiar un precio no modifica el monto de trámites anteriores.</x:v>
      </x:c>
      <x:c r="K9" s="10" t="str">
        <x:v>RF-02</x:v>
      </x:c>
      <x:c r="L9" s="10" t="str">
        <x:v>backend/src/app.js: /api/servicios; src/db.js: services</x:v>
      </x:c>
      <x:c r="M9" s="10" t="str">
        <x:v>HU-02</x:v>
      </x:c>
      <x:c r="N9" s="10" t="str">
        <x:v>CP-03</x:v>
      </x:c>
      <x:c r="O9" s="12" t="str">
        <x:v>Pendiente</x:v>
      </x:c>
    </x:row>
    <x:row r="10" ht="62" customHeight="1">
      <x:c r="A10" s="11" t="str">
        <x:v>RF-05</x:v>
      </x:c>
      <x:c r="B10" s="11" t="str">
        <x:v>Funcional</x:v>
      </x:c>
      <x:c r="C10" s="11" t="str">
        <x:v>Solicitud de trámite</x:v>
      </x:c>
      <x:c r="D10" s="11" t="str">
        <x:v>Cliente y administrador</x:v>
      </x:c>
      <x:c r="E10" s="11" t="str">
        <x:v>El sistema deberá crear un trámite con servicio, título y detalle opcional, folio único y estado pendiente_pago. El cliente será el de la sesión; el administrador deberá elegir un cliente activo.</x:v>
      </x:c>
      <x:c r="F10" s="11" t="str">
        <x:v>Crítica</x:v>
      </x:c>
      <x:c r="G10" s="11" t="str">
        <x:v>S1</x:v>
      </x:c>
      <x:c r="H10" s="11" t="str">
        <x:v>Código presente; sin prueba funcional</x:v>
      </x:c>
      <x:c r="I10" s="11" t="str">
        <x:v>Formulario placeholder</x:v>
      </x:c>
      <x:c r="J10" s="11" t="str">
        <x:v>La respuesta 201 contiene folio y monto del catálogo. Manipular clientId o monto desde una sesión cliente no cambia propietario ni precio.</x:v>
      </x:c>
      <x:c r="K10" s="11" t="str">
        <x:v>RF-04</x:v>
      </x:c>
      <x:c r="L10" s="11" t="str">
        <x:v>backend/src/app.js: POST /api/tramites; cliente-dashboard.html</x:v>
      </x:c>
      <x:c r="M10" s="11" t="str">
        <x:v>HU-02</x:v>
      </x:c>
      <x:c r="N10" s="11" t="str">
        <x:v>CP-03</x:v>
      </x:c>
      <x:c r="O10" s="12" t="str">
        <x:v>Pendiente</x:v>
      </x:c>
    </x:row>
    <x:row r="11" ht="62" customHeight="1">
      <x:c r="A11" s="10" t="str">
        <x:v>RF-06</x:v>
      </x:c>
      <x:c r="B11" s="10" t="str">
        <x:v>Funcional</x:v>
      </x:c>
      <x:c r="C11" s="10" t="str">
        <x:v>Consulta de trámites</x:v>
      </x:c>
      <x:c r="D11" s="10" t="str">
        <x:v>Cliente comercial y administrador</x:v>
      </x:c>
      <x:c r="E11" s="10" t="str">
        <x:v>El sistema deberá listar y consultar trámites según propiedad o asignación, con paginación y filtro de estado.</x:v>
      </x:c>
      <x:c r="F11" s="10" t="str">
        <x:v>Crítica</x:v>
      </x:c>
      <x:c r="G11" s="10" t="str">
        <x:v>S1</x:v>
      </x:c>
      <x:c r="H11" s="10" t="str">
        <x:v>Código presente; sin prueba funcional</x:v>
      </x:c>
      <x:c r="I11" s="10" t="str">
        <x:v>Listado cliente parcial; otros estáticos</x:v>
      </x:c>
      <x:c r="J11" s="10" t="str">
        <x:v>Cliente ve solo propios; comercial solo asignados; administrador todos. Un ID fuera de alcance devuelve 404; finanzas no recibe contenido documental.</x:v>
      </x:c>
      <x:c r="K11" s="10" t="str">
        <x:v>RF-02</x:v>
      </x:c>
      <x:c r="L11" s="10" t="str">
        <x:v>backend/src/app.js: GET /api/tramites y caseFor; frontend/src/app/tramites.ts</x:v>
      </x:c>
      <x:c r="M11" s="10" t="str">
        <x:v>HU-02</x:v>
      </x:c>
      <x:c r="N11" s="10" t="str">
        <x:v>CP-04</x:v>
      </x:c>
      <x:c r="O11" s="12" t="str">
        <x:v>Pendiente</x:v>
      </x:c>
    </x:row>
    <x:row r="12" ht="62" customHeight="1">
      <x:c r="A12" s="11" t="str">
        <x:v>RF-07</x:v>
      </x:c>
      <x:c r="B12" s="11" t="str">
        <x:v>Funcional</x:v>
      </x:c>
      <x:c r="C12" s="11" t="str">
        <x:v>Asignación comercial</x:v>
      </x:c>
      <x:c r="D12" s="11" t="str">
        <x:v>Administrador</x:v>
      </x:c>
      <x:c r="E12" s="11" t="str">
        <x:v>El sistema deberá asignar un trámite abierto a un comercial activo y notificarlo.</x:v>
      </x:c>
      <x:c r="F12" s="11" t="str">
        <x:v>Alta</x:v>
      </x:c>
      <x:c r="G12" s="11" t="str">
        <x:v>S2</x:v>
      </x:c>
      <x:c r="H12" s="11" t="str">
        <x:v>Código presente; sin prueba funcional</x:v>
      </x:c>
      <x:c r="I12" s="11" t="str">
        <x:v>Pendiente</x:v>
      </x:c>
      <x:c r="J12" s="11" t="str">
        <x:v>Asignación válida queda persistida. Comercial inactivo o usuario de otro rol se rechaza; un cliente no puede asignar.</x:v>
      </x:c>
      <x:c r="K12" s="11" t="str">
        <x:v>RF-05; RF-09</x:v>
      </x:c>
      <x:c r="L12" s="11" t="str">
        <x:v>backend/src/app.js: PATCH /api/tramites/:id/asignacion</x:v>
      </x:c>
      <x:c r="M12" s="11" t="str">
        <x:v>HU-04</x:v>
      </x:c>
      <x:c r="N12" s="11" t="str">
        <x:v>CP-07</x:v>
      </x:c>
      <x:c r="O12" s="12" t="str">
        <x:v>Pendiente</x:v>
      </x:c>
    </x:row>
    <x:row r="13" ht="62" customHeight="1">
      <x:c r="A13" s="10" t="str">
        <x:v>RF-08</x:v>
      </x:c>
      <x:c r="B13" s="10" t="str">
        <x:v>Funcional</x:v>
      </x:c>
      <x:c r="C13" s="10" t="str">
        <x:v>Seguimiento de clientes</x:v>
      </x:c>
      <x:c r="D13" s="10" t="str">
        <x:v>Comercial y administrador</x:v>
      </x:c>
      <x:c r="E13" s="10" t="str">
        <x:v>El sistema deberá buscar clientes y consultar el resumen de sus trámites sin entregar contenido de documentos no asignados al comercial.</x:v>
      </x:c>
      <x:c r="F13" s="10" t="str">
        <x:v>Media</x:v>
      </x:c>
      <x:c r="G13" s="10" t="str">
        <x:v>S3</x:v>
      </x:c>
      <x:c r="H13" s="10" t="str">
        <x:v>Código presente; sin prueba funcional</x:v>
      </x:c>
      <x:c r="I13" s="10" t="str">
        <x:v>Búsqueda visual sin lógica</x:v>
      </x:c>
      <x:c r="J13" s="10" t="str">
        <x:v>Comercial busca con al menos tres caracteres; obtiene datos básicos y resumen. La consulta sensible deja auditoría y no incluye cuerpo de documentos.</x:v>
      </x:c>
      <x:c r="K13" s="10" t="str">
        <x:v>RF-02; RF-10</x:v>
      </x:c>
      <x:c r="L13" s="10" t="str">
        <x:v>backend/src/app.js: /api/clientes y /api/clientes/:id/tramites</x:v>
      </x:c>
      <x:c r="M13" s="10" t="str">
        <x:v>HU-09</x:v>
      </x:c>
      <x:c r="N13" s="10" t="str">
        <x:v>CP-07</x:v>
      </x:c>
      <x:c r="O13" s="12" t="str">
        <x:v>Pendiente</x:v>
      </x:c>
    </x:row>
    <x:row r="14" ht="62" customHeight="1">
      <x:c r="A14" s="11" t="str">
        <x:v>RF-09</x:v>
      </x:c>
      <x:c r="B14" s="11" t="str">
        <x:v>Funcional</x:v>
      </x:c>
      <x:c r="C14" s="11" t="str">
        <x:v>Administración de usuarios</x:v>
      </x:c>
      <x:c r="D14" s="11" t="str">
        <x:v>Administrador</x:v>
      </x:c>
      <x:c r="E14" s="11" t="str">
        <x:v>El sistema deberá crear usuarios, modificar nombre o rol y desactivar cuentas, respetando relaciones con trámites existentes.</x:v>
      </x:c>
      <x:c r="F14" s="11" t="str">
        <x:v>Alta</x:v>
      </x:c>
      <x:c r="G14" s="11" t="str">
        <x:v>S3</x:v>
      </x:c>
      <x:c r="H14" s="11" t="str">
        <x:v>Código presente; sin prueba funcional</x:v>
      </x:c>
      <x:c r="I14" s="11" t="str">
        <x:v>Pestaña placeholder</x:v>
      </x:c>
      <x:c r="J14" s="11" t="str">
        <x:v>Un cliente no accede a /usuarios. Se impide desactivar comercial con trámites abiertos sin reasignarlos; no se entregan hashes en respuestas.</x:v>
      </x:c>
      <x:c r="K14" s="11" t="str">
        <x:v>RF-02; RF-07</x:v>
      </x:c>
      <x:c r="L14" s="11" t="str">
        <x:v>backend/src/app.js: /api/usuarios; admin-dashboard.html</x:v>
      </x:c>
      <x:c r="M14" s="11" t="str">
        <x:v>HU-09</x:v>
      </x:c>
      <x:c r="N14" s="11" t="str">
        <x:v>CP-07</x:v>
      </x:c>
      <x:c r="O14" s="12" t="str">
        <x:v>Pendiente</x:v>
      </x:c>
    </x:row>
    <x:row r="15" ht="62" customHeight="1">
      <x:c r="A15" s="10" t="str">
        <x:v>RF-10</x:v>
      </x:c>
      <x:c r="B15" s="10" t="str">
        <x:v>Funcional</x:v>
      </x:c>
      <x:c r="C15" s="10" t="str">
        <x:v>Auditoría de operaciones</x:v>
      </x:c>
      <x:c r="D15" s="10" t="str">
        <x:v>Administrador</x:v>
      </x:c>
      <x:c r="E15" s="10" t="str">
        <x:v>El sistema deberá registrar actor, acción, entidad y fecha para mutaciones y accesos sensibles, permitiendo consulta paginada al administrador.</x:v>
      </x:c>
      <x:c r="F15" s="10" t="str">
        <x:v>Alta</x:v>
      </x:c>
      <x:c r="G15" s="10" t="str">
        <x:v>S3</x:v>
      </x:c>
      <x:c r="H15" s="10" t="str">
        <x:v>Código presente; sin prueba funcional</x:v>
      </x:c>
      <x:c r="I15" s="10" t="str">
        <x:v>Pendiente</x:v>
      </x:c>
      <x:c r="J15" s="10" t="str">
        <x:v>Crear trámite, revisar pago y descargar documento generan registros. El registro no contiene contraseñas ni tokens; la aplicación no permite editarlo ni borrarlo.</x:v>
      </x:c>
      <x:c r="K15" s="10" t="str">
        <x:v>RF-02</x:v>
      </x:c>
      <x:c r="L15" s="10" t="str">
        <x:v>backend/src/app.js: audit y /api/auditoria; src/db.js: audit</x:v>
      </x:c>
      <x:c r="M15" s="10" t="str">
        <x:v>HU-10</x:v>
      </x:c>
      <x:c r="N15" s="10" t="str">
        <x:v>CP-13</x:v>
      </x:c>
      <x:c r="O15" s="12" t="str">
        <x:v>Pendiente</x:v>
      </x:c>
    </x:row>
    <x:row r="16" ht="62" customHeight="1">
      <x:c r="A16" s="11" t="str">
        <x:v>RF-11</x:v>
      </x:c>
      <x:c r="B16" s="11" t="str">
        <x:v>Funcional</x:v>
      </x:c>
      <x:c r="C16" s="11" t="str">
        <x:v>Transferencia informada</x:v>
      </x:c>
      <x:c r="D16" s="11" t="str">
        <x:v>Cliente propietario y administrador</x:v>
      </x:c>
      <x:c r="E16" s="11" t="str">
        <x:v>El sistema deberá registrar una referencia única de transferencia con monto tomado del trámite. El pago quedará pendiente de verificación.</x:v>
      </x:c>
      <x:c r="F16" s="11" t="str">
        <x:v>Crítica</x:v>
      </x:c>
      <x:c r="G16" s="11" t="str">
        <x:v>S1</x:v>
      </x:c>
      <x:c r="H16" s="11" t="str">
        <x:v>Código presente; sin prueba funcional</x:v>
      </x:c>
      <x:c r="I16" s="11" t="str">
        <x:v>Pendiente</x:v>
      </x:c>
      <x:c r="J16" s="11" t="str">
        <x:v>Informar referencia devuelve 201 y pendiente; el trámite sigue pendiente_pago. Referencia repetida o segundo pago activo devuelve 409.</x:v>
      </x:c>
      <x:c r="K16" s="11" t="str">
        <x:v>RF-05</x:v>
      </x:c>
      <x:c r="L16" s="11" t="str">
        <x:v>backend/src/app.js: POST /api/tramites/:id/pagos</x:v>
      </x:c>
      <x:c r="M16" s="11" t="str">
        <x:v>HU-03</x:v>
      </x:c>
      <x:c r="N16" s="11" t="str">
        <x:v>CP-05</x:v>
      </x:c>
      <x:c r="O16" s="12" t="str">
        <x:v>Pendiente</x:v>
      </x:c>
    </x:row>
    <x:row r="17" ht="62" customHeight="1">
      <x:c r="A17" s="10" t="str">
        <x:v>RF-12</x:v>
      </x:c>
      <x:c r="B17" s="10" t="str">
        <x:v>Funcional</x:v>
      </x:c>
      <x:c r="C17" s="10" t="str">
        <x:v>Verificación de transferencia</x:v>
      </x:c>
      <x:c r="D17" s="10" t="str">
        <x:v>Finanzas y administrador</x:v>
      </x:c>
      <x:c r="E17" s="10" t="str">
        <x:v>El sistema deberá aprobar o rechazar un pago pendiente con motivo, después de comprobar el abono fuera del sistema. Una persona distinta de quien lo informó deberá revisarlo.</x:v>
      </x:c>
      <x:c r="F17" s="10" t="str">
        <x:v>Crítica</x:v>
      </x:c>
      <x:c r="G17" s="10" t="str">
        <x:v>S1</x:v>
      </x:c>
      <x:c r="H17" s="10" t="str">
        <x:v>Código presente; sin prueba funcional</x:v>
      </x:c>
      <x:c r="I17" s="10" t="str">
        <x:v>Pantalla estática menciona Webpay</x:v>
      </x:c>
      <x:c r="J17" s="10" t="str">
        <x:v>Aprobar cambia trámite a en_redaccion; rechazar conserva pendiente_pago. Autoaprobación devuelve 403 y segunda revisión 409.</x:v>
      </x:c>
      <x:c r="K17" s="10" t="str">
        <x:v>RF-11</x:v>
      </x:c>
      <x:c r="L17" s="10" t="str">
        <x:v>backend/src/app.js: PATCH /api/pagos/:id/revision</x:v>
      </x:c>
      <x:c r="M17" s="10" t="str">
        <x:v>HU-03</x:v>
      </x:c>
      <x:c r="N17" s="10" t="str">
        <x:v>CP-06</x:v>
      </x:c>
      <x:c r="O17" s="12" t="str">
        <x:v>Pendiente</x:v>
      </x:c>
    </x:row>
    <x:row r="18" ht="62" customHeight="1">
      <x:c r="A18" s="11" t="str">
        <x:v>RF-13</x:v>
      </x:c>
      <x:c r="B18" s="11" t="str">
        <x:v>Funcional</x:v>
      </x:c>
      <x:c r="C18" s="11" t="str">
        <x:v>Comprobante interno</x:v>
      </x:c>
      <x:c r="D18" s="11" t="str">
        <x:v>Cliente propietario finanzas y administrador</x:v>
      </x:c>
      <x:c r="E18" s="11" t="str">
        <x:v>El sistema deberá permitir descargar un comprobante interno de un pago aprobado, rotulado como documento no tributario.</x:v>
      </x:c>
      <x:c r="F18" s="11" t="str">
        <x:v>Media</x:v>
      </x:c>
      <x:c r="G18" s="11" t="str">
        <x:v>S3</x:v>
      </x:c>
      <x:c r="H18" s="11" t="str">
        <x:v>Código presente; sin prueba funcional</x:v>
      </x:c>
      <x:c r="I18" s="11" t="str">
        <x:v>Pestaña placeholder</x:v>
      </x:c>
      <x:c r="J18" s="11" t="str">
        <x:v>Pago aprobado entrega TXT con folio, monto y referencia. Pago pendiente obtiene 409; otro cliente no puede descargarlo.</x:v>
      </x:c>
      <x:c r="K18" s="11" t="str">
        <x:v>RF-12</x:v>
      </x:c>
      <x:c r="L18" s="11" t="str">
        <x:v>backend/src/app.js: GET /api/pagos/:id/comprobante</x:v>
      </x:c>
      <x:c r="M18" s="11" t="str">
        <x:v>HU-11</x:v>
      </x:c>
      <x:c r="N18" s="11" t="str">
        <x:v>CP-14</x:v>
      </x:c>
      <x:c r="O18" s="12" t="str">
        <x:v>Pendiente</x:v>
      </x:c>
    </x:row>
    <x:row r="19" ht="62" customHeight="1">
      <x:c r="A19" s="10" t="str">
        <x:v>RF-14</x:v>
      </x:c>
      <x:c r="B19" s="10" t="str">
        <x:v>Funcional</x:v>
      </x:c>
      <x:c r="C19" s="10" t="str">
        <x:v>Plantillas de documentos</x:v>
      </x:c>
      <x:c r="D19" s="10" t="str">
        <x:v>Administrador cliente y comercial</x:v>
      </x:c>
      <x:c r="E19" s="10" t="str">
        <x:v>El administrador deberá gestionar plantillas de texto. Cliente y comercial deberán poder consultar las activas y utilizarlas como base de un borrador.</x:v>
      </x:c>
      <x:c r="F19" s="10" t="str">
        <x:v>Alta</x:v>
      </x:c>
      <x:c r="G19" s="10" t="str">
        <x:v>S2</x:v>
      </x:c>
      <x:c r="H19" s="10" t="str">
        <x:v>Código presente; sin prueba funcional</x:v>
      </x:c>
      <x:c r="I19" s="10" t="str">
        <x:v>Pendiente</x:v>
      </x:c>
      <x:c r="J19" s="10" t="str">
        <x:v>Actualizar exige expectedVersion; una versión obsoleta obtiene 409. Copiar plantilla en editor no se presenta como documento aprobado por el negocio.</x:v>
      </x:c>
      <x:c r="K19" s="10" t="str">
        <x:v>RF-02; plantillas del negocio</x:v>
      </x:c>
      <x:c r="L19" s="10" t="str">
        <x:v>backend/src/app.js: /api/plantillas; admin-dashboard.html</x:v>
      </x:c>
      <x:c r="M19" s="10" t="str">
        <x:v>HU-05</x:v>
      </x:c>
      <x:c r="N19" s="10" t="str">
        <x:v>CP-08</x:v>
      </x:c>
      <x:c r="O19" s="12" t="str">
        <x:v>Pendiente</x:v>
      </x:c>
    </x:row>
    <x:row r="20" ht="62" customHeight="1">
      <x:c r="A20" s="11" t="str">
        <x:v>RF-15</x:v>
      </x:c>
      <x:c r="B20" s="11" t="str">
        <x:v>Funcional</x:v>
      </x:c>
      <x:c r="C20" s="11" t="str">
        <x:v>Edición y versiones</x:v>
      </x:c>
      <x:c r="D20" s="11" t="str">
        <x:v>Cliente propietario comercial asignado y administrador</x:v>
      </x:c>
      <x:c r="E20" s="11" t="str">
        <x:v>El sistema deberá guardar borradores de texto con autor, fecha y versión. Permitirá editar en en_redaccion u observado y controlará modificaciones concurrentes.</x:v>
      </x:c>
      <x:c r="F20" s="11" t="str">
        <x:v>Alta</x:v>
      </x:c>
      <x:c r="G20" s="11" t="str">
        <x:v>S2</x:v>
      </x:c>
      <x:c r="H20" s="11" t="str">
        <x:v>Código presente; sin prueba funcional</x:v>
      </x:c>
      <x:c r="I20" s="11" t="str">
        <x:v>Editor placeholder</x:v>
      </x:c>
      <x:c r="J20" s="11" t="str">
        <x:v>Primer guardado con expectedVersion 0 crea versión 1. Una versión desactualizada obtiene 409 sin sobrescribir. En revisión o cerrado no permite editar.</x:v>
      </x:c>
      <x:c r="K20" s="11" t="str">
        <x:v>RF-12; RF-14</x:v>
      </x:c>
      <x:c r="L20" s="11" t="str">
        <x:v>backend/src/app.js: POST /api/tramites/:id/documentos</x:v>
      </x:c>
      <x:c r="M20" s="11" t="str">
        <x:v>HU-05</x:v>
      </x:c>
      <x:c r="N20" s="11" t="str">
        <x:v>CP-08</x:v>
      </x:c>
      <x:c r="O20" s="12" t="str">
        <x:v>Pendiente</x:v>
      </x:c>
    </x:row>
    <x:row r="21" ht="62" customHeight="1">
      <x:c r="A21" s="10" t="str">
        <x:v>RF-16</x:v>
      </x:c>
      <x:c r="B21" s="10" t="str">
        <x:v>Funcional</x:v>
      </x:c>
      <x:c r="C21" s="10" t="str">
        <x:v>Revisión y cierre documental</x:v>
      </x:c>
      <x:c r="D21" s="10" t="str">
        <x:v>Cliente comercial asignado y administrador</x:v>
      </x:c>
      <x:c r="E21" s="10" t="str">
        <x:v>El sistema deberá enviar un borrador a revisión, registrar observaciones y permitir aprobación por comercial o administrador. Solo un servicio sin firma podrá cerrarse internamente.</x:v>
      </x:c>
      <x:c r="F21" s="10" t="str">
        <x:v>Alta</x:v>
      </x:c>
      <x:c r="G21" s="10" t="str">
        <x:v>S2</x:v>
      </x:c>
      <x:c r="H21" s="10" t="str">
        <x:v>Código presente; sin prueba funcional</x:v>
      </x:c>
      <x:c r="I21" s="10" t="str">
        <x:v>Pendiente</x:v>
      </x:c>
      <x:c r="J21" s="10" t="str">
        <x:v>Sin documento no se envía a revisión. Observado exige motivo; cliente no aprueba. Servicio con FEA no pasa manualmente a completado.</x:v>
      </x:c>
      <x:c r="K21" s="10" t="str">
        <x:v>RF-15; RF-07</x:v>
      </x:c>
      <x:c r="L21" s="10" t="str">
        <x:v>backend/src/app.js: PATCH /api/tramites/:id/estado</x:v>
      </x:c>
      <x:c r="M21" s="10" t="str">
        <x:v>HU-06</x:v>
      </x:c>
      <x:c r="N21" s="10" t="str">
        <x:v>CP-09</x:v>
      </x:c>
      <x:c r="O21" s="12" t="str">
        <x:v>Pendiente</x:v>
      </x:c>
    </x:row>
    <x:row r="22" ht="62" customHeight="1">
      <x:c r="A22" s="11" t="str">
        <x:v>RF-17</x:v>
      </x:c>
      <x:c r="B22" s="11" t="str">
        <x:v>Funcional</x:v>
      </x:c>
      <x:c r="C22" s="11" t="str">
        <x:v>Adjuntos privados</x:v>
      </x:c>
      <x:c r="D22" s="11" t="str">
        <x:v>Cliente propietario comercial asignado y administrador</x:v>
      </x:c>
      <x:c r="E22" s="11" t="str">
        <x:v>El sistema deberá aceptar hasta diez adjuntos PDF de hasta 2 MiB por trámite y descargarlos solo con autorización.</x:v>
      </x:c>
      <x:c r="F22" s="11" t="str">
        <x:v>Alta</x:v>
      </x:c>
      <x:c r="G22" s="11" t="str">
        <x:v>S2</x:v>
      </x:c>
      <x:c r="H22" s="11" t="str">
        <x:v>Código presente; sin prueba funcional</x:v>
      </x:c>
      <x:c r="I22" s="11" t="str">
        <x:v>Pendiente</x:v>
      </x:c>
      <x:c r="J22" s="11" t="str">
        <x:v>PDF válido dentro de límite se guarda; formato o tamaño inválido se rechaza. Otro cliente no descarga el archivo. Validación de cabecera no equivale a antivirus.</x:v>
      </x:c>
      <x:c r="K22" s="11" t="str">
        <x:v>RF-05</x:v>
      </x:c>
      <x:c r="L22" s="11" t="str">
        <x:v>backend/src/app.js: /api/tramites/:id/adjuntos</x:v>
      </x:c>
      <x:c r="M22" s="11" t="str">
        <x:v>HU-07</x:v>
      </x:c>
      <x:c r="N22" s="11" t="str">
        <x:v>CP-10</x:v>
      </x:c>
      <x:c r="O22" s="12" t="str">
        <x:v>Pendiente</x:v>
      </x:c>
    </x:row>
    <x:row r="23" ht="62" customHeight="1">
      <x:c r="A23" s="10" t="str">
        <x:v>RF-18</x:v>
      </x:c>
      <x:c r="B23" s="10" t="str">
        <x:v>Funcional</x:v>
      </x:c>
      <x:c r="C23" s="10" t="str">
        <x:v>Notificaciones internas</x:v>
      </x:c>
      <x:c r="D23" s="10" t="str">
        <x:v>Todos los roles</x:v>
      </x:c>
      <x:c r="E23" s="10" t="str">
        <x:v>El sistema deberá mostrar al usuario sus notificaciones internas y permitir marcarlas leídas.</x:v>
      </x:c>
      <x:c r="F23" s="10" t="str">
        <x:v>Media</x:v>
      </x:c>
      <x:c r="G23" s="10" t="str">
        <x:v>S3</x:v>
      </x:c>
      <x:c r="H23" s="10" t="str">
        <x:v>Código presente; sin prueba funcional</x:v>
      </x:c>
      <x:c r="I23" s="10" t="str">
        <x:v>Pendiente</x:v>
      </x:c>
      <x:c r="J23" s="10" t="str">
        <x:v>Crear trámite o cambiar estado genera aviso al destinatario; marcar el aviso ajeno devuelve 404. No se anuncia envío de correo o SMS.</x:v>
      </x:c>
      <x:c r="K23" s="10" t="str">
        <x:v>RF-05; RF-16</x:v>
      </x:c>
      <x:c r="L23" s="10" t="str">
        <x:v>backend/src/app.js: notify y /api/notificaciones</x:v>
      </x:c>
      <x:c r="M23" s="10" t="str">
        <x:v>HU-10</x:v>
      </x:c>
      <x:c r="N23" s="10" t="str">
        <x:v>CP-13</x:v>
      </x:c>
      <x:c r="O23" s="12" t="str">
        <x:v>Pendiente</x:v>
      </x:c>
    </x:row>
    <x:row r="24" ht="62" customHeight="1">
      <x:c r="A24" s="11" t="str">
        <x:v>RF-19</x:v>
      </x:c>
      <x:c r="B24" s="11" t="str">
        <x:v>Funcional</x:v>
      </x:c>
      <x:c r="C24" s="11" t="str">
        <x:v>Reportes financieros e indicadores</x:v>
      </x:c>
      <x:c r="D24" s="11" t="str">
        <x:v>Finanzas y administrador</x:v>
      </x:c>
      <x:c r="E24" s="11" t="str">
        <x:v>El sistema deberá mostrar ingresos y pagos revisados por mes en CLP; el administrador consultará indicadores de trámites y clientes.</x:v>
      </x:c>
      <x:c r="F24" s="11" t="str">
        <x:v>Media</x:v>
      </x:c>
      <x:c r="G24" s="11" t="str">
        <x:v>S3</x:v>
      </x:c>
      <x:c r="H24" s="11" t="str">
        <x:v>Código presente; sin prueba funcional</x:v>
      </x:c>
      <x:c r="I24" s="11" t="str">
        <x:v>Indicadores estáticos o placeholder</x:v>
      </x:c>
      <x:c r="J24" s="11" t="str">
        <x:v>Totales coinciden con pagos aprobados del mes de revisión; rechazados no suman ingresos. Se informa que el cálculo actual agrupa por UTC.</x:v>
      </x:c>
      <x:c r="K24" s="11" t="str">
        <x:v>RF-12; acordar calendario</x:v>
      </x:c>
      <x:c r="L24" s="11" t="str">
        <x:v>backend/src/app.js: /api/reportes/finanzas y /api/indicadores</x:v>
      </x:c>
      <x:c r="M24" s="11" t="str">
        <x:v>HU-10; HU-11</x:v>
      </x:c>
      <x:c r="N24" s="11" t="str">
        <x:v>CP-14</x:v>
      </x:c>
      <x:c r="O24" s="12" t="str">
        <x:v>Pendiente</x:v>
      </x:c>
    </x:row>
    <x:row r="25" ht="62" customHeight="1">
      <x:c r="A25" s="10" t="str">
        <x:v>RF-20</x:v>
      </x:c>
      <x:c r="B25" s="10" t="str">
        <x:v>Funcional</x:v>
      </x:c>
      <x:c r="C25" s="10" t="str">
        <x:v>Cancelación previa al pago</x:v>
      </x:c>
      <x:c r="D25" s="10" t="str">
        <x:v>Cliente propietario comercial asignado y administrador</x:v>
      </x:c>
      <x:c r="E25" s="10" t="str">
        <x:v>El sistema deberá permitir cancelar un trámite en pendiente_pago cuando no tenga pagos pendientes o aprobados. El alcance comercial requiere ratificación del negocio.</x:v>
      </x:c>
      <x:c r="F25" s="10" t="str">
        <x:v>Media</x:v>
      </x:c>
      <x:c r="G25" s="10" t="str">
        <x:v>S2</x:v>
      </x:c>
      <x:c r="H25" s="10" t="str">
        <x:v>Código presente; sin prueba funcional</x:v>
      </x:c>
      <x:c r="I25" s="10" t="str">
        <x:v>Pendiente</x:v>
      </x:c>
      <x:c r="J25" s="10" t="str">
        <x:v>Sin pago activo pasa a cancelado; con pago pendiente o aprobado obtiene 409. El trámite cancelado no admite nuevas modificaciones.</x:v>
      </x:c>
      <x:c r="K25" s="10" t="str">
        <x:v>RF-05; RF-11</x:v>
      </x:c>
      <x:c r="L25" s="10" t="str">
        <x:v>backend/src/app.js: caseFor y PATCH /api/tramites/:id/estado</x:v>
      </x:c>
      <x:c r="M25" s="10" t="str">
        <x:v>HU-06</x:v>
      </x:c>
      <x:c r="N25" s="10" t="str">
        <x:v>CP-09</x:v>
      </x:c>
      <x:c r="O25" s="12" t="str">
        <x:v>Pendiente</x:v>
      </x:c>
    </x:row>
    <x:row r="26" ht="62" customHeight="1">
      <x:c r="A26" s="11" t="str">
        <x:v>RF-21</x:v>
      </x:c>
      <x:c r="B26" s="11" t="str">
        <x:v>Funcional</x:v>
      </x:c>
      <x:c r="C26" s="11" t="str">
        <x:v>Firma electrónica avanzada</x:v>
      </x:c>
      <x:c r="D26" s="11" t="str">
        <x:v>Comercial y administrador</x:v>
      </x:c>
      <x:c r="E26" s="11" t="str">
        <x:v>Si se aprueba esta integración, el sistema deberá enviar un documento aprobado al proveedor y conservar documento firmado y evidencia de validación.</x:v>
      </x:c>
      <x:c r="F26" s="11" t="str">
        <x:v>Condicionada</x:v>
      </x:c>
      <x:c r="G26" s="11" t="str">
        <x:v>Futuro</x:v>
      </x:c>
      <x:c r="H26" s="11" t="str">
        <x:v>Pendiente</x:v>
      </x:c>
      <x:c r="I26" s="11" t="str">
        <x:v>Pendiente</x:v>
      </x:c>
      <x:c r="J26" s="11" t="str">
        <x:v>Sandbox demuestra envío, respuesta autenticada, reintento idempotente y descarga del original firmado. Un fallo no marca firmado ni completado.</x:v>
      </x:c>
      <x:c r="K26" s="11" t="str">
        <x:v>Proveedor; contrato API; credenciales; reglas legales</x:v>
      </x:c>
      <x:c r="L26" s="11" t="str">
        <x:v>backend/src/app.js: /firma devuelve 503; /capabilities indica false</x:v>
      </x:c>
      <x:c r="M26" s="11" t="str">
        <x:v>HU-13</x:v>
      </x:c>
      <x:c r="N26" s="11" t="str">
        <x:v>CP-18; CP-19</x:v>
      </x:c>
      <x:c r="O26" s="12" t="str">
        <x:v>Pendiente</x:v>
      </x:c>
    </x:row>
    <x:row r="27" ht="62" customHeight="1">
      <x:c r="A27" s="10" t="str">
        <x:v>RF-22</x:v>
      </x:c>
      <x:c r="B27" s="10" t="str">
        <x:v>Funcional</x:v>
      </x:c>
      <x:c r="C27" s="10" t="str">
        <x:v>Pago electrónico Webpay</x:v>
      </x:c>
      <x:c r="D27" s="10" t="str">
        <x:v>Cliente propietario</x:v>
      </x:c>
      <x:c r="E27" s="10" t="str">
        <x:v>Si se incluye en el alcance, el sistema deberá crear y confirmar pagos con Webpay, verificando importe y resultado en servidor.</x:v>
      </x:c>
      <x:c r="F27" s="10" t="str">
        <x:v>Condicionada</x:v>
      </x:c>
      <x:c r="G27" s="10" t="str">
        <x:v>Futuro</x:v>
      </x:c>
      <x:c r="H27" s="10" t="str">
        <x:v>Pendiente</x:v>
      </x:c>
      <x:c r="I27" s="10" t="str">
        <x:v>Solo rótulos demo</x:v>
      </x:c>
      <x:c r="J27" s="10" t="str">
        <x:v>Prueba sandbox de éxito, rechazo y callback repetido; no duplica pago. Hasta integrarlo la interfaz informa indisponibilidad.</x:v>
      </x:c>
      <x:c r="K27" s="10" t="str">
        <x:v>Aprobación de alcance; comercio; sandbox</x:v>
      </x:c>
      <x:c r="L27" s="10" t="str">
        <x:v>backend/src/app.js: /webpay devuelve 503; /capabilities indica false</x:v>
      </x:c>
      <x:c r="M27" s="10" t="str">
        <x:v>HU-14</x:v>
      </x:c>
      <x:c r="N27" s="10" t="str">
        <x:v>CP-18; CP-20</x:v>
      </x:c>
      <x:c r="O27" s="12" t="str">
        <x:v>Pendiente</x:v>
      </x:c>
    </x:row>
    <x:row r="28" ht="62" customHeight="1">
      <x:c r="A28" s="11" t="str">
        <x:v>RF-23</x:v>
      </x:c>
      <x:c r="B28" s="11" t="str">
        <x:v>Funcional</x:v>
      </x:c>
      <x:c r="C28" s="11" t="str">
        <x:v>Documento final PDF</x:v>
      </x:c>
      <x:c r="D28" s="11" t="str">
        <x:v>Cliente y personal autorizado</x:v>
      </x:c>
      <x:c r="E28" s="11" t="str">
        <x:v>El sistema deberá generar el documento final desde una plantilla aprobada cuando el negocio defina formato, campos y reglas de emisión.</x:v>
      </x:c>
      <x:c r="F28" s="11" t="str">
        <x:v>Condicionada</x:v>
      </x:c>
      <x:c r="G28" s="11" t="str">
        <x:v>Futuro</x:v>
      </x:c>
      <x:c r="H28" s="11" t="str">
        <x:v>Pendiente</x:v>
      </x:c>
      <x:c r="I28" s="11" t="str">
        <x:v>Pendiente</x:v>
      </x:c>
      <x:c r="J28" s="11" t="str">
        <x:v>Se validan campos obligatorios y versión de plantilla; el archivo emitido corresponde al trámite. Si requiere firma, se entrega el original firmado verificable.</x:v>
      </x:c>
      <x:c r="K28" s="11" t="str">
        <x:v>Plantillas aprobadas; RF-21 cuando aplique</x:v>
      </x:c>
      <x:c r="L28" s="11" t="str">
        <x:v>Descarga actual en src/app.js es TXT rotulado como borrador</x:v>
      </x:c>
      <x:c r="M28" s="11" t="str">
        <x:v>HU-15</x:v>
      </x:c>
      <x:c r="N28" s="11" t="str">
        <x:v>CP-21</x:v>
      </x:c>
      <x:c r="O28" s="12" t="str">
        <x:v>Pendiente</x:v>
      </x:c>
    </x:row>
    <x:row r="29" ht="62" customHeight="1">
      <x:c r="A29" s="10" t="str">
        <x:v>RF-24</x:v>
      </x:c>
      <x:c r="B29" s="10" t="str">
        <x:v>Funcional</x:v>
      </x:c>
      <x:c r="C29" s="10" t="str">
        <x:v>Recuperación de acceso</x:v>
      </x:c>
      <x:c r="D29" s="10" t="str">
        <x:v>Usuario registrado</x:v>
      </x:c>
      <x:c r="E29" s="10" t="str">
        <x:v>El sistema deberá permitir recuperar acceso mediante token temporal de un solo uso enviado por un proveedor de correo, si se incorpora al alcance.</x:v>
      </x:c>
      <x:c r="F29" s="10" t="str">
        <x:v>Media</x:v>
      </x:c>
      <x:c r="G29" s="10" t="str">
        <x:v>Futuro</x:v>
      </x:c>
      <x:c r="H29" s="10" t="str">
        <x:v>Pendiente</x:v>
      </x:c>
      <x:c r="I29" s="10" t="str">
        <x:v>Pendiente</x:v>
      </x:c>
      <x:c r="J29" s="10" t="str">
        <x:v>Solicitud no revela si existe el correo; token vencido o reutilizado se rechaza; cambio de contraseña revoca sesiones.</x:v>
      </x:c>
      <x:c r="K29" s="10" t="str">
        <x:v>Proveedor de correo; política de expiración</x:v>
      </x:c>
      <x:c r="L29" s="10" t="str">
        <x:v>No existe ruta de recuperación; /auth/password exige sesión</x:v>
      </x:c>
      <x:c r="M29" s="10" t="str">
        <x:v>HU-16</x:v>
      </x:c>
      <x:c r="N29" s="10" t="str">
        <x:v>CP-22</x:v>
      </x:c>
      <x:c r="O29" s="12" t="str">
        <x:v>Pendiente</x:v>
      </x:c>
    </x:row>
    <x:row r="30" ht="62" customHeight="1">
      <x:c r="A30" s="11" t="str">
        <x:v>RNF-01</x:v>
      </x:c>
      <x:c r="B30" s="11" t="str">
        <x:v>No funcional</x:v>
      </x:c>
      <x:c r="C30" s="11" t="str">
        <x:v>Protección de credenciales</x:v>
      </x:c>
      <x:c r="D30" s="11" t="str">
        <x:v>Equipo y usuarios</x:v>
      </x:c>
      <x:c r="E30" s="11" t="str">
        <x:v>Guardar contraseñas con salt y scrypt; nunca registrarlas en logs ni respuestas. Usar HTTPS fuera del entorno local.</x:v>
      </x:c>
      <x:c r="F30" s="11" t="str">
        <x:v>Alta</x:v>
      </x:c>
      <x:c r="G30" s="11" t="str">
        <x:v>S1</x:v>
      </x:c>
      <x:c r="H30" s="11" t="str">
        <x:v>Por verificar</x:v>
      </x:c>
      <x:c r="I30" s="11" t="str">
        <x:v>Por verificar</x:v>
      </x:c>
      <x:c r="J30" s="11" t="str">
        <x:v>Inspección de almacenamiento y respuestas sin clave en claro; prueba de HTTPS en despliegue.</x:v>
      </x:c>
      <x:c r="K30" s="11" t="str">
        <x:v>Acordar objetivo y ambiente</x:v>
      </x:c>
      <x:c r="L30" s="11" t="str">
        <x:v>security.js; HTTPS pendiente</x:v>
      </x:c>
      <x:c r="M30" s="11" t="str">
        <x:v>HU-01</x:v>
      </x:c>
      <x:c r="N30" s="11" t="str">
        <x:v>CP-02</x:v>
      </x:c>
      <x:c r="O30" s="12" t="str">
        <x:v>Pendiente</x:v>
      </x:c>
    </x:row>
    <x:row r="31" ht="62" customHeight="1">
      <x:c r="A31" s="10" t="str">
        <x:v>RNF-02</x:v>
      </x:c>
      <x:c r="B31" s="10" t="str">
        <x:v>No funcional</x:v>
      </x:c>
      <x:c r="C31" s="10" t="str">
        <x:v>Consistencia de operaciones</x:v>
      </x:c>
      <x:c r="D31" s="10" t="str">
        <x:v>Equipo y usuarios</x:v>
      </x:c>
      <x:c r="E31" s="10" t="str">
        <x:v>Persistir pagos, cambios de estado y sus eventos en transacciones; impedir duplicados.</x:v>
      </x:c>
      <x:c r="F31" s="10" t="str">
        <x:v>Alta</x:v>
      </x:c>
      <x:c r="G31" s="10" t="str">
        <x:v>S1</x:v>
      </x:c>
      <x:c r="H31" s="10" t="str">
        <x:v>Por verificar</x:v>
      </x:c>
      <x:c r="I31" s="10" t="str">
        <x:v>Por verificar</x:v>
      </x:c>
      <x:c r="J31" s="10" t="str">
        <x:v>Repetir revisión no incrementa ingresos; un error intermedio no deja un estado parcial.</x:v>
      </x:c>
      <x:c r="K31" s="10" t="str">
        <x:v>Acordar objetivo y ambiente</x:v>
      </x:c>
      <x:c r="L31" s="10" t="str">
        <x:v>app.js: atomic; db.js: transaction</x:v>
      </x:c>
      <x:c r="M31" s="10" t="str">
        <x:v>HU-03</x:v>
      </x:c>
      <x:c r="N31" s="10" t="str">
        <x:v>CP-05; CP-06</x:v>
      </x:c>
      <x:c r="O31" s="12" t="str">
        <x:v>Pendiente</x:v>
      </x:c>
    </x:row>
    <x:row r="32" ht="62" customHeight="1">
      <x:c r="A32" s="11" t="str">
        <x:v>RNF-03</x:v>
      </x:c>
      <x:c r="B32" s="11" t="str">
        <x:v>No funcional</x:v>
      </x:c>
      <x:c r="C32" s="11" t="str">
        <x:v>Validación y límites</x:v>
      </x:c>
      <x:c r="D32" s="11" t="str">
        <x:v>Equipo y usuarios</x:v>
      </x:c>
      <x:c r="E32" s="11" t="str">
        <x:v>Validar tipos y longitudes en servidor; usar consultas parametrizadas y límite de autenticación.</x:v>
      </x:c>
      <x:c r="F32" s="11" t="str">
        <x:v>Alta</x:v>
      </x:c>
      <x:c r="G32" s="11" t="str">
        <x:v>S1</x:v>
      </x:c>
      <x:c r="H32" s="11" t="str">
        <x:v>Por verificar</x:v>
      </x:c>
      <x:c r="I32" s="11" t="str">
        <x:v>Por verificar</x:v>
      </x:c>
      <x:c r="J32" s="11" t="str">
        <x:v>Petición 21 en ventana de 15 minutos obtiene 429; cuerpo superior a 3 MiB obtiene 413.</x:v>
      </x:c>
      <x:c r="K32" s="11" t="str">
        <x:v>Acordar objetivo y ambiente</x:v>
      </x:c>
      <x:c r="L32" s="11" t="str">
        <x:v>validation.js; app.js: authLimit y express.json</x:v>
      </x:c>
      <x:c r="M32" s="11" t="str">
        <x:v>HU-03</x:v>
      </x:c>
      <x:c r="N32" s="11" t="str">
        <x:v>CP-11</x:v>
      </x:c>
      <x:c r="O32" s="12" t="str">
        <x:v>Pendiente</x:v>
      </x:c>
    </x:row>
    <x:row r="33" ht="62" customHeight="1">
      <x:c r="A33" s="10" t="str">
        <x:v>RNF-04</x:v>
      </x:c>
      <x:c r="B33" s="10" t="str">
        <x:v>No funcional</x:v>
      </x:c>
      <x:c r="C33" s="10" t="str">
        <x:v>Aislamiento de información</x:v>
      </x:c>
      <x:c r="D33" s="10" t="str">
        <x:v>Equipo y usuarios</x:v>
      </x:c>
      <x:c r="E33" s="10" t="str">
        <x:v>Autorizar cada recurso en servidor por rol y propiedad; los guards del navegador serán solo una ayuda de navegación.</x:v>
      </x:c>
      <x:c r="F33" s="10" t="str">
        <x:v>Alta</x:v>
      </x:c>
      <x:c r="G33" s="10" t="str">
        <x:v>S1</x:v>
      </x:c>
      <x:c r="H33" s="10" t="str">
        <x:v>Por verificar</x:v>
      </x:c>
      <x:c r="I33" s="10" t="str">
        <x:v>Por verificar</x:v>
      </x:c>
      <x:c r="J33" s="10" t="str">
        <x:v>Matriz de acceso con dos clientes y cuatro roles: ningún acceso ajeno a trámites, pagos o adjuntos.</x:v>
      </x:c>
      <x:c r="K33" s="10" t="str">
        <x:v>Acordar objetivo y ambiente</x:v>
      </x:c>
      <x:c r="L33" s="10" t="str">
        <x:v>app.js: roles y caseFor; guards pendientes</x:v>
      </x:c>
      <x:c r="M33" s="10" t="str">
        <x:v>HU-01</x:v>
      </x:c>
      <x:c r="N33" s="10" t="str">
        <x:v>CP-04; CP-10</x:v>
      </x:c>
      <x:c r="O33" s="12" t="str">
        <x:v>Pendiente</x:v>
      </x:c>
    </x:row>
    <x:row r="34" ht="62" customHeight="1">
      <x:c r="A34" s="11" t="str">
        <x:v>RNF-05</x:v>
      </x:c>
      <x:c r="B34" s="11" t="str">
        <x:v>No funcional</x:v>
      </x:c>
      <x:c r="C34" s="11" t="str">
        <x:v>Usabilidad y errores</x:v>
      </x:c>
      <x:c r="D34" s="11" t="str">
        <x:v>Equipo y usuarios</x:v>
      </x:c>
      <x:c r="E34" s="11" t="str">
        <x:v>Mostrar carga, lista vacía y errores recuperables; formularios con etiquetas y navegación por teclado. Meta propuesta: sin desbordamiento a 360 y 1366 px.</x:v>
      </x:c>
      <x:c r="F34" s="11" t="str">
        <x:v>Alta</x:v>
      </x:c>
      <x:c r="G34" s="11" t="str">
        <x:v>S1</x:v>
      </x:c>
      <x:c r="H34" s="11" t="str">
        <x:v>Por verificar</x:v>
      </x:c>
      <x:c r="I34" s="11" t="str">
        <x:v>Por verificar</x:v>
      </x:c>
      <x:c r="J34" s="11" t="str">
        <x:v>Ejecutar recorrido en ambas anchuras; distinguir 401, 403, 409 y caída de API; permitir reintento sin duplicados.</x:v>
      </x:c>
      <x:c r="K34" s="11" t="str">
        <x:v>Acordar objetivo y ambiente</x:v>
      </x:c>
      <x:c r="L34" s="11" t="str">
        <x:v>Frontend parcial; validación pendiente</x:v>
      </x:c>
      <x:c r="M34" s="11" t="str">
        <x:v>HU-12</x:v>
      </x:c>
      <x:c r="N34" s="11" t="str">
        <x:v>CP-15</x:v>
      </x:c>
      <x:c r="O34" s="12" t="str">
        <x:v>Pendiente</x:v>
      </x:c>
    </x:row>
    <x:row r="35" ht="62" customHeight="1">
      <x:c r="A35" s="10" t="str">
        <x:v>RNF-06</x:v>
      </x:c>
      <x:c r="B35" s="10" t="str">
        <x:v>No funcional</x:v>
      </x:c>
      <x:c r="C35" s="10" t="str">
        <x:v>Rendimiento de consulta</x:v>
      </x:c>
      <x:c r="D35" s="10" t="str">
        <x:v>Equipo y usuarios</x:v>
      </x:c>
      <x:c r="E35" s="10" t="str">
        <x:v>Meta propuesta a validar: percentil 95 de listados inferior a 2 segundos con 20 usuarios concurrentes y 1000 trámites en ambiente acordado.</x:v>
      </x:c>
      <x:c r="F35" s="10" t="str">
        <x:v>Alta</x:v>
      </x:c>
      <x:c r="G35" s="10" t="str">
        <x:v>S3</x:v>
      </x:c>
      <x:c r="H35" s="10" t="str">
        <x:v>Por verificar</x:v>
      </x:c>
      <x:c r="I35" s="10" t="str">
        <x:v>Por verificar</x:v>
      </x:c>
      <x:c r="J35" s="10" t="str">
        <x:v>Registrar equipo, dataset, duración y p95 mediante prueba de carga reproducible; no declarar cumplimiento sin medición.</x:v>
      </x:c>
      <x:c r="K35" s="10" t="str">
        <x:v>Acordar objetivo y ambiente</x:v>
      </x:c>
      <x:c r="L35" s="10" t="str">
        <x:v>Objetivo nuevo; no medido</x:v>
      </x:c>
      <x:c r="M35" s="10" t="str">
        <x:v>HU-12</x:v>
      </x:c>
      <x:c r="N35" s="10" t="str">
        <x:v>CP-16</x:v>
      </x:c>
      <x:c r="O35" s="12" t="str">
        <x:v>Pendiente</x:v>
      </x:c>
    </x:row>
    <x:row r="36" ht="62" customHeight="1">
      <x:c r="A36" s="11" t="str">
        <x:v>RNF-07</x:v>
      </x:c>
      <x:c r="B36" s="11" t="str">
        <x:v>No funcional</x:v>
      </x:c>
      <x:c r="C36" s="11" t="str">
        <x:v>Respaldo y recuperación</x:v>
      </x:c>
      <x:c r="D36" s="11" t="str">
        <x:v>Equipo y usuarios</x:v>
      </x:c>
      <x:c r="E36" s="11" t="str">
        <x:v>Meta propuesta: respaldo diario y restauración verificada; RPO 24 horas y RTO 4 horas, sujetos a acuerdo.</x:v>
      </x:c>
      <x:c r="F36" s="11" t="str">
        <x:v>Alta</x:v>
      </x:c>
      <x:c r="G36" s="11" t="str">
        <x:v>S3</x:v>
      </x:c>
      <x:c r="H36" s="11" t="str">
        <x:v>Por verificar</x:v>
      </x:c>
      <x:c r="I36" s="11" t="str">
        <x:v>Por verificar</x:v>
      </x:c>
      <x:c r="J36" s="11" t="str">
        <x:v>Restaurar copia consistente de SQLite y adjuntos en otro entorno y documentar integridad y tiempo.</x:v>
      </x:c>
      <x:c r="K36" s="11" t="str">
        <x:v>Acordar objetivo y ambiente</x:v>
      </x:c>
      <x:c r="L36" s="11" t="str">
        <x:v>No se encontró automatización de respaldo</x:v>
      </x:c>
      <x:c r="M36" s="11" t="str">
        <x:v>HU-12</x:v>
      </x:c>
      <x:c r="N36" s="11" t="str">
        <x:v>CP-17</x:v>
      </x:c>
      <x:c r="O36" s="12" t="str">
        <x:v>Pendiente</x:v>
      </x:c>
    </x:row>
    <x:row r="37" ht="62" customHeight="1">
      <x:c r="A37" s="10" t="str">
        <x:v>RNF-08</x:v>
      </x:c>
      <x:c r="B37" s="10" t="str">
        <x:v>No funcional</x:v>
      </x:c>
      <x:c r="C37" s="10" t="str">
        <x:v>Reproducibilidad y pruebas</x:v>
      </x:c>
      <x:c r="D37" s="10" t="str">
        <x:v>Equipo y usuarios</x:v>
      </x:c>
      <x:c r="E37" s="10" t="str">
        <x:v>Documentar instalación, configuración sin secretos, inicialización y pruebas del flujo y permisos.</x:v>
      </x:c>
      <x:c r="F37" s="10" t="str">
        <x:v>Alta</x:v>
      </x:c>
      <x:c r="G37" s="10" t="str">
        <x:v>S1</x:v>
      </x:c>
      <x:c r="H37" s="10" t="str">
        <x:v>Por verificar</x:v>
      </x:c>
      <x:c r="I37" s="10" t="str">
        <x:v>Por verificar</x:v>
      </x:c>
      <x:c r="J37" s="10" t="str">
        <x:v>Desde un entorno limpio se instala con lockfile, se inicia API y frontend y se ejecuta una suite que descubre pruebas reales.</x:v>
      </x:c>
      <x:c r="K37" s="10" t="str">
        <x:v>Acordar objetivo y ambiente</x:v>
      </x:c>
      <x:c r="L37" s="10" t="str">
        <x:v>package.json declara test; ZIP sin archivos test/*.test.js</x:v>
      </x:c>
      <x:c r="M37" s="10" t="str">
        <x:v>HU-03; HU-12</x:v>
      </x:c>
      <x:c r="N37" s="10" t="str">
        <x:v>CP-12</x:v>
      </x:c>
      <x:c r="O37" s="12" t="str">
        <x:v>Pendiente</x:v>
      </x:c>
    </x:row>
  </x:sheetData>
  <x:dataValidations count="1">
    <x:dataValidation type="list" sqref="O6:O37">
      <x:formula1>"Pendiente,Aprobado,Requiere ajuste,Fuera de alcance"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24812b9d2d944fd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35" hidden="0" customWidth="1"/>
    <x:col min="3" max="3" width="13" hidden="0" customWidth="1"/>
    <x:col min="4" max="4" width="58" hidden="0" customWidth="1"/>
    <x:col min="5" max="5" width="82" hidden="0" customWidth="1"/>
    <x:col min="6" max="6" width="80" hidden="0" customWidth="1"/>
    <x:col min="7" max="7" width="20" hidden="0" customWidth="1"/>
    <x:col min="8" max="8" width="50" hidden="0" customWidth="1"/>
    <x:col min="9" max="9" width="38" hidden="0" customWidth="1"/>
    <x:col min="10" max="10" width="23" hidden="0" customWidth="1"/>
    <x:col min="11" max="11" width="18" hidden="0" customWidth="1"/>
    <x:col min="12" max="12" width="23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7" customHeight="1">
      <x:c r="A2" s="2" t="str">
        <x:v>Casos de prueba y evidencias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3" t="str">
        <x:v>Resultados iniciales No ejecutado. Registrar resultado observado, evidencia, fecha y versión probada; no inferir aprobación por inspección.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2" customHeight="1">
      <x:c r="A5" s="8" t="str">
        <x:v>ID</x:v>
      </x:c>
      <x:c r="B5" s="8" t="str">
        <x:v>Requisitos</x:v>
      </x:c>
      <x:c r="C5" s="8" t="str">
        <x:v>Sprint</x:v>
      </x:c>
      <x:c r="D5" s="8" t="str">
        <x:v>Precondiciones</x:v>
      </x:c>
      <x:c r="E5" s="8" t="str">
        <x:v>Pasos</x:v>
      </x:c>
      <x:c r="F5" s="8" t="str">
        <x:v>Resultado esperado</x:v>
      </x:c>
      <x:c r="G5" s="8" t="str">
        <x:v>Resultado</x:v>
      </x:c>
      <x:c r="H5" s="8" t="str">
        <x:v>Resultado observado</x:v>
      </x:c>
      <x:c r="I5" s="8" t="str">
        <x:v>Evidencia o defecto</x:v>
      </x:c>
      <x:c r="J5" s="8" t="str">
        <x:v>Responsable</x:v>
      </x:c>
      <x:c r="K5" s="8" t="str">
        <x:v>Fecha</x:v>
      </x:c>
      <x:c r="L5" s="8" t="str">
        <x:v>Versión probada</x:v>
      </x:c>
    </x:row>
    <x:row r="6" ht="44" customHeight="1">
      <x:c r="A6" s="11" t="str">
        <x:v>CP-01</x:v>
      </x:c>
      <x:c r="B6" s="11" t="str">
        <x:v>RF-01</x:v>
      </x:c>
      <x:c r="C6" s="11" t="str">
        <x:v>S2</x:v>
      </x:c>
      <x:c r="D6" s="11" t="str">
        <x:v>Correo no registrado; formulario habilitado</x:v>
      </x:c>
      <x:c r="E6" s="11" t="str">
        <x:v>Registrar válido; repetir correo; enviar rol admin; probar RUT inválido</x:v>
      </x:c>
      <x:c r="F6" s="11" t="str">
        <x:v>201 cliente; duplicado 409; sin privilegios; RUT inválido 400</x:v>
      </x:c>
      <x:c r="G6" s="12" t="str">
        <x:v>No ejecutado</x:v>
      </x:c>
      <x:c r="H6" s="12" t="str"/>
      <x:c r="I6" s="12" t="str"/>
      <x:c r="J6" s="12" t="str">
        <x:v>Por asignar</x:v>
      </x:c>
      <x:c r="K6" s="14"/>
      <x:c r="L6" s="12" t="str"/>
    </x:row>
    <x:row r="7" ht="44" customHeight="1">
      <x:c r="A7" s="10" t="str">
        <x:v>CP-02</x:v>
      </x:c>
      <x:c r="B7" s="10" t="str">
        <x:v>RF-02; RF-03; RNF-01</x:v>
      </x:c>
      <x:c r="C7" s="10" t="str">
        <x:v>S1</x:v>
      </x:c>
      <x:c r="D7" s="10" t="str">
        <x:v>Cuatro cuentas activas con claves de prueba</x:v>
      </x:c>
      <x:c r="E7" s="10" t="str">
        <x:v>Ingresar por cada rol; clave incorrecta; logout; reutilizar token; recargar ruta privada</x:v>
      </x:c>
      <x:c r="F7" s="10" t="str">
        <x:v>Panel correcto; 401 inválida; logout 204; token 401; ruta protegida</x:v>
      </x:c>
      <x:c r="G7" s="12" t="str">
        <x:v>No ejecutado</x:v>
      </x:c>
      <x:c r="H7" s="12" t="str"/>
      <x:c r="I7" s="12" t="str"/>
      <x:c r="J7" s="12" t="str">
        <x:v>Por asignar</x:v>
      </x:c>
      <x:c r="K7" s="14"/>
      <x:c r="L7" s="12" t="str"/>
    </x:row>
    <x:row r="8" ht="44" customHeight="1">
      <x:c r="A8" s="11" t="str">
        <x:v>CP-03</x:v>
      </x:c>
      <x:c r="B8" s="11" t="str">
        <x:v>RF-04; RF-05</x:v>
      </x:c>
      <x:c r="C8" s="11" t="str">
        <x:v>S1</x:v>
      </x:c>
      <x:c r="D8" s="11" t="str">
        <x:v>Cliente autenticado; servicio activo sin firma</x:v>
      </x:c>
      <x:c r="E8" s="11" t="str">
        <x:v>Consultar catálogo; crear trámite; alterar monto/clientId; cambiar precio del catálogo</x:v>
      </x:c>
      <x:c r="F8" s="11" t="str">
        <x:v>201 con folio; dueño y monto del servidor; precio anterior conservado</x:v>
      </x:c>
      <x:c r="G8" s="12" t="str">
        <x:v>No ejecutado</x:v>
      </x:c>
      <x:c r="H8" s="12" t="str"/>
      <x:c r="I8" s="12" t="str"/>
      <x:c r="J8" s="12" t="str">
        <x:v>Por asignar</x:v>
      </x:c>
      <x:c r="K8" s="14"/>
      <x:c r="L8" s="12" t="str"/>
    </x:row>
    <x:row r="9" ht="44" customHeight="1">
      <x:c r="A9" s="10" t="str">
        <x:v>CP-04</x:v>
      </x:c>
      <x:c r="B9" s="10" t="str">
        <x:v>RF-06; RNF-04</x:v>
      </x:c>
      <x:c r="C9" s="10" t="str">
        <x:v>S1</x:v>
      </x:c>
      <x:c r="D9" s="10" t="str">
        <x:v>Dos clientes, un comercial y Finanzas</x:v>
      </x:c>
      <x:c r="E9" s="10" t="str">
        <x:v>Consultar lista y detalle de otro cliente; intentar contenido con Finanzas; probar paginación</x:v>
      </x:c>
      <x:c r="F9" s="10" t="str">
        <x:v>Cliente ajeno 404; Finanzas 403; listas sin datos ajenos; páginas consistentes</x:v>
      </x:c>
      <x:c r="G9" s="12" t="str">
        <x:v>No ejecutado</x:v>
      </x:c>
      <x:c r="H9" s="12" t="str"/>
      <x:c r="I9" s="12" t="str"/>
      <x:c r="J9" s="12" t="str">
        <x:v>Por asignar</x:v>
      </x:c>
      <x:c r="K9" s="14"/>
      <x:c r="L9" s="12" t="str"/>
    </x:row>
    <x:row r="10" ht="44" customHeight="1">
      <x:c r="A10" s="11" t="str">
        <x:v>CP-05</x:v>
      </x:c>
      <x:c r="B10" s="11" t="str">
        <x:v>RF-11; RNF-02</x:v>
      </x:c>
      <x:c r="C10" s="11" t="str">
        <x:v>S1</x:v>
      </x:c>
      <x:c r="D10" s="11" t="str">
        <x:v>Trámite pendiente_pago</x:v>
      </x:c>
      <x:c r="E10" s="11" t="str">
        <x:v>Informar referencia; repetirla; intentar segundo pago activo</x:v>
      </x:c>
      <x:c r="F10" s="11" t="str">
        <x:v>201 pendiente; duplicados 409; trámite no cambia a redacción</x:v>
      </x:c>
      <x:c r="G10" s="12" t="str">
        <x:v>No ejecutado</x:v>
      </x:c>
      <x:c r="H10" s="12" t="str"/>
      <x:c r="I10" s="12" t="str"/>
      <x:c r="J10" s="12" t="str">
        <x:v>Por asignar</x:v>
      </x:c>
      <x:c r="K10" s="14"/>
      <x:c r="L10" s="12" t="str"/>
    </x:row>
    <x:row r="11" ht="44" customHeight="1">
      <x:c r="A11" s="10" t="str">
        <x:v>CP-06</x:v>
      </x:c>
      <x:c r="B11" s="10" t="str">
        <x:v>RF-12; RNF-02</x:v>
      </x:c>
      <x:c r="C11" s="10" t="str">
        <x:v>S1</x:v>
      </x:c>
      <x:c r="D11" s="10" t="str">
        <x:v>Pagos pendientes en casos separados</x:v>
      </x:c>
      <x:c r="E11" s="10" t="str">
        <x:v>Aprobar con Finanzas; repetir; rechazar otro; intentar autoaprobación como admin</x:v>
      </x:c>
      <x:c r="F11" s="10" t="str">
        <x:v>Aprobación en_redaccion; repetición 409; rechazo pendiente_pago; autoaprobación 403</x:v>
      </x:c>
      <x:c r="G11" s="12" t="str">
        <x:v>No ejecutado</x:v>
      </x:c>
      <x:c r="H11" s="12" t="str"/>
      <x:c r="I11" s="12" t="str"/>
      <x:c r="J11" s="12" t="str">
        <x:v>Por asignar</x:v>
      </x:c>
      <x:c r="K11" s="14"/>
      <x:c r="L11" s="12" t="str"/>
    </x:row>
    <x:row r="12" ht="44" customHeight="1">
      <x:c r="A12" s="11" t="str">
        <x:v>CP-07</x:v>
      </x:c>
      <x:c r="B12" s="11" t="str">
        <x:v>RF-07; RF-08; RF-09</x:v>
      </x:c>
      <x:c r="C12" s="11" t="str">
        <x:v>S2</x:v>
      </x:c>
      <x:c r="D12" s="11" t="str">
        <x:v>Admin y dos comerciales; trámite abierto</x:v>
      </x:c>
      <x:c r="E12" s="11" t="str">
        <x:v>Asignar a comercial activo; otro consulta; intentar desactivar asignado con caso abierto</x:v>
      </x:c>
      <x:c r="F12" s="11" t="str">
        <x:v>Asignación persiste; ajeno 404; desactivación rechazada hasta reasignar</x:v>
      </x:c>
      <x:c r="G12" s="12" t="str">
        <x:v>No ejecutado</x:v>
      </x:c>
      <x:c r="H12" s="12" t="str"/>
      <x:c r="I12" s="12" t="str"/>
      <x:c r="J12" s="12" t="str">
        <x:v>Por asignar</x:v>
      </x:c>
      <x:c r="K12" s="14"/>
      <x:c r="L12" s="12" t="str"/>
    </x:row>
    <x:row r="13" ht="44" customHeight="1">
      <x:c r="A13" s="10" t="str">
        <x:v>CP-08</x:v>
      </x:c>
      <x:c r="B13" s="10" t="str">
        <x:v>RF-14; RF-15</x:v>
      </x:c>
      <x:c r="C13" s="10" t="str">
        <x:v>S2</x:v>
      </x:c>
      <x:c r="D13" s="10" t="str">
        <x:v>Trámite en_redaccion; plantilla activa</x:v>
      </x:c>
      <x:c r="E13" s="10" t="str">
        <x:v>Editar plantilla con versión vieja; guardar documento v1; dos editores intentan v2</x:v>
      </x:c>
      <x:c r="F13" s="10" t="str">
        <x:v>Conflicto 409; no sobrescritura; autor y versión preservados</x:v>
      </x:c>
      <x:c r="G13" s="12" t="str">
        <x:v>No ejecutado</x:v>
      </x:c>
      <x:c r="H13" s="12" t="str"/>
      <x:c r="I13" s="12" t="str"/>
      <x:c r="J13" s="12" t="str">
        <x:v>Por asignar</x:v>
      </x:c>
      <x:c r="K13" s="14"/>
      <x:c r="L13" s="12" t="str"/>
    </x:row>
    <x:row r="14" ht="44" customHeight="1">
      <x:c r="A14" s="11" t="str">
        <x:v>CP-09</x:v>
      </x:c>
      <x:c r="B14" s="11" t="str">
        <x:v>RF-16; RF-20</x:v>
      </x:c>
      <x:c r="C14" s="11" t="str">
        <x:v>S2</x:v>
      </x:c>
      <x:c r="D14" s="11" t="str">
        <x:v>Casos sin firma y con firma; borradores</x:v>
      </x:c>
      <x:c r="E14" s="11" t="str">
        <x:v>Enviar vacío; observar sin motivo; corregir; aprobar; cerrar sin firma; cerrar con firma; cancelar con pago</x:v>
      </x:c>
      <x:c r="F14" s="11" t="str">
        <x:v>Vacío 409; motivo requerido 400; ciclo correcto; firma requerida 409; pago activo impide cancelar</x:v>
      </x:c>
      <x:c r="G14" s="12" t="str">
        <x:v>No ejecutado</x:v>
      </x:c>
      <x:c r="H14" s="12" t="str"/>
      <x:c r="I14" s="12" t="str"/>
      <x:c r="J14" s="12" t="str">
        <x:v>Por asignar</x:v>
      </x:c>
      <x:c r="K14" s="14"/>
      <x:c r="L14" s="12" t="str"/>
    </x:row>
    <x:row r="15" ht="44" customHeight="1">
      <x:c r="A15" s="10" t="str">
        <x:v>CP-10</x:v>
      </x:c>
      <x:c r="B15" s="10" t="str">
        <x:v>RF-17; RNF-04</x:v>
      </x:c>
      <x:c r="C15" s="10" t="str">
        <x:v>S2</x:v>
      </x:c>
      <x:c r="D15" s="10" t="str">
        <x:v>Caso editable; PDF de prueba no sensible</x:v>
      </x:c>
      <x:c r="E15" s="10" t="str">
        <x:v>Subir PDF válido; no PDF; &gt;2 MiB; archivo 11; descargar con otro cliente</x:v>
      </x:c>
      <x:c r="F15" s="10" t="str">
        <x:v>Válido 201; inválidos rechazados; límite 409; acceso ajeno 404</x:v>
      </x:c>
      <x:c r="G15" s="12" t="str">
        <x:v>No ejecutado</x:v>
      </x:c>
      <x:c r="H15" s="12" t="str"/>
      <x:c r="I15" s="12" t="str"/>
      <x:c r="J15" s="12" t="str">
        <x:v>Por asignar</x:v>
      </x:c>
      <x:c r="K15" s="14"/>
      <x:c r="L15" s="12" t="str"/>
    </x:row>
    <x:row r="16" ht="44" customHeight="1">
      <x:c r="A16" s="11" t="str">
        <x:v>CP-11</x:v>
      </x:c>
      <x:c r="B16" s="11" t="str">
        <x:v>RNF-03</x:v>
      </x:c>
      <x:c r="C16" s="11" t="str">
        <x:v>S1</x:v>
      </x:c>
      <x:c r="D16" s="11" t="str">
        <x:v>Base aislada para prueba de límite</x:v>
      </x:c>
      <x:c r="E16" s="11" t="str">
        <x:v>Enviar 21 intentos dentro de 15 minutos; cuerpo JSON &gt;3 MiB; origen no permitido</x:v>
      </x:c>
      <x:c r="F16" s="11" t="str">
        <x:v>Intento 21 obtiene 429; cuerpo 413; origen 403</x:v>
      </x:c>
      <x:c r="G16" s="12" t="str">
        <x:v>No ejecutado</x:v>
      </x:c>
      <x:c r="H16" s="12" t="str"/>
      <x:c r="I16" s="12" t="str"/>
      <x:c r="J16" s="12" t="str">
        <x:v>Por asignar</x:v>
      </x:c>
      <x:c r="K16" s="14"/>
      <x:c r="L16" s="12" t="str"/>
    </x:row>
    <x:row r="17" ht="44" customHeight="1">
      <x:c r="A17" s="10" t="str">
        <x:v>CP-12</x:v>
      </x:c>
      <x:c r="B17" s="10" t="str">
        <x:v>RNF-08</x:v>
      </x:c>
      <x:c r="C17" s="10" t="str">
        <x:v>S1</x:v>
      </x:c>
      <x:c r="D17" s="10" t="str">
        <x:v>Entorno limpio y configuración de prueba</x:v>
      </x:c>
      <x:c r="E17" s="10" t="str">
        <x:v>Instalar dependencias; inicializar base; arrancar; descubrir y ejecutar suite; reiniciar API</x:v>
      </x:c>
      <x:c r="F17" s="10" t="str">
        <x:v>Instrucciones reproducibles; pruebas &gt;0; datos del trámite permanecen tras reinicio</x:v>
      </x:c>
      <x:c r="G17" s="12" t="str">
        <x:v>No ejecutado</x:v>
      </x:c>
      <x:c r="H17" s="12" t="str"/>
      <x:c r="I17" s="12" t="str"/>
      <x:c r="J17" s="12" t="str">
        <x:v>Por asignar</x:v>
      </x:c>
      <x:c r="K17" s="14"/>
      <x:c r="L17" s="12" t="str"/>
    </x:row>
    <x:row r="18" ht="44" customHeight="1">
      <x:c r="A18" s="11" t="str">
        <x:v>CP-13</x:v>
      </x:c>
      <x:c r="B18" s="11" t="str">
        <x:v>RF-10; RF-18</x:v>
      </x:c>
      <x:c r="C18" s="11" t="str">
        <x:v>S3</x:v>
      </x:c>
      <x:c r="D18" s="11" t="str">
        <x:v>Cambios y notificaciones creados</x:v>
      </x:c>
      <x:c r="E18" s="11" t="str">
        <x:v>Consultar auditoría como admin; revisar ausencia de secretos; marcar notificación propia y ajena</x:v>
      </x:c>
      <x:c r="F18" s="11" t="str">
        <x:v>Eventos trazables; sin credenciales; propia 204; ajena 404</x:v>
      </x:c>
      <x:c r="G18" s="12" t="str">
        <x:v>No ejecutado</x:v>
      </x:c>
      <x:c r="H18" s="12" t="str"/>
      <x:c r="I18" s="12" t="str"/>
      <x:c r="J18" s="12" t="str">
        <x:v>Por asignar</x:v>
      </x:c>
      <x:c r="K18" s="14"/>
      <x:c r="L18" s="12" t="str"/>
    </x:row>
    <x:row r="19" ht="44" customHeight="1">
      <x:c r="A19" s="10" t="str">
        <x:v>CP-14</x:v>
      </x:c>
      <x:c r="B19" s="10" t="str">
        <x:v>RF-13; RF-19</x:v>
      </x:c>
      <x:c r="C19" s="10" t="str">
        <x:v>S3</x:v>
      </x:c>
      <x:c r="D19" s="10" t="str">
        <x:v>Pagos aprobados/rechazados en dos meses</x:v>
      </x:c>
      <x:c r="E19" s="10" t="str">
        <x:v>Comparar total mensual; descargar comprobante aprobado y pendiente; consultar indicadores</x:v>
      </x:c>
      <x:c r="F19" s="10" t="str">
        <x:v>Solo aprobados del mes UTC suman; TXT no tributario; pendiente 409; indicadores coinciden</x:v>
      </x:c>
      <x:c r="G19" s="12" t="str">
        <x:v>No ejecutado</x:v>
      </x:c>
      <x:c r="H19" s="12" t="str"/>
      <x:c r="I19" s="12" t="str"/>
      <x:c r="J19" s="12" t="str">
        <x:v>Por asignar</x:v>
      </x:c>
      <x:c r="K19" s="14"/>
      <x:c r="L19" s="12" t="str"/>
    </x:row>
    <x:row r="20" ht="44" customHeight="1">
      <x:c r="A20" s="11" t="str">
        <x:v>CP-15</x:v>
      </x:c>
      <x:c r="B20" s="11" t="str">
        <x:v>RNF-05</x:v>
      </x:c>
      <x:c r="C20" s="11" t="str">
        <x:v>S3</x:v>
      </x:c>
      <x:c r="D20" s="11" t="str">
        <x:v>Frontend integrado</x:v>
      </x:c>
      <x:c r="E20" s="11" t="str">
        <x:v>Recorrer con teclado a 360 y 1366 px; simular caída de API y conflicto 409</x:v>
      </x:c>
      <x:c r="F20" s="11" t="str">
        <x:v>Campos accesibles; sin desborde; errores distintos y recuperación sin duplicados</x:v>
      </x:c>
      <x:c r="G20" s="12" t="str">
        <x:v>No ejecutado</x:v>
      </x:c>
      <x:c r="H20" s="12" t="str"/>
      <x:c r="I20" s="12" t="str"/>
      <x:c r="J20" s="12" t="str">
        <x:v>Por asignar</x:v>
      </x:c>
      <x:c r="K20" s="14"/>
      <x:c r="L20" s="12" t="str"/>
    </x:row>
    <x:row r="21" ht="44" customHeight="1">
      <x:c r="A21" s="10" t="str">
        <x:v>CP-16</x:v>
      </x:c>
      <x:c r="B21" s="10" t="str">
        <x:v>RNF-06</x:v>
      </x:c>
      <x:c r="C21" s="10" t="str">
        <x:v>S3</x:v>
      </x:c>
      <x:c r="D21" s="10" t="str">
        <x:v>Ambiente y dataset acordados</x:v>
      </x:c>
      <x:c r="E21" s="10" t="str">
        <x:v>Ejecutar carga con 20 usuarios y 1000 trámites; registrar p95 y errores</x:v>
      </x:c>
      <x:c r="F21" s="10" t="str">
        <x:v>Comparar contra meta propuesta &lt;2 s; informe con condiciones reproducibles</x:v>
      </x:c>
      <x:c r="G21" s="12" t="str">
        <x:v>No ejecutado</x:v>
      </x:c>
      <x:c r="H21" s="12" t="str"/>
      <x:c r="I21" s="12" t="str"/>
      <x:c r="J21" s="12" t="str">
        <x:v>Por asignar</x:v>
      </x:c>
      <x:c r="K21" s="14"/>
      <x:c r="L21" s="12" t="str"/>
    </x:row>
    <x:row r="22" ht="44" customHeight="1">
      <x:c r="A22" s="11" t="str">
        <x:v>CP-17</x:v>
      </x:c>
      <x:c r="B22" s="11" t="str">
        <x:v>RNF-07</x:v>
      </x:c>
      <x:c r="C22" s="11" t="str">
        <x:v>S3</x:v>
      </x:c>
      <x:c r="D22" s="11" t="str">
        <x:v>Copia consistente de base con adjuntos</x:v>
      </x:c>
      <x:c r="E22" s="11" t="str">
        <x:v>Restaurar en entorno separado; verificar registros y archivos; medir tiempo</x:v>
      </x:c>
      <x:c r="F22" s="11" t="str">
        <x:v>Integridad preservada; comparar RPO 24 h/RTO 4 h propuestos con medición</x:v>
      </x:c>
      <x:c r="G22" s="12" t="str">
        <x:v>No ejecutado</x:v>
      </x:c>
      <x:c r="H22" s="12" t="str"/>
      <x:c r="I22" s="12" t="str"/>
      <x:c r="J22" s="12" t="str">
        <x:v>Por asignar</x:v>
      </x:c>
      <x:c r="K22" s="14"/>
      <x:c r="L22" s="12" t="str"/>
    </x:row>
    <x:row r="23" ht="44" customHeight="1">
      <x:c r="A23" s="10" t="str">
        <x:v>CP-18</x:v>
      </x:c>
      <x:c r="B23" s="10" t="str">
        <x:v>RF-21; RF-22</x:v>
      </x:c>
      <x:c r="C23" s="10" t="str">
        <x:v>Futuro</x:v>
      </x:c>
      <x:c r="D23" s="10" t="str">
        <x:v>Estado actual sin integraciones</x:v>
      </x:c>
      <x:c r="E23" s="10" t="str">
        <x:v>Consultar capabilities; solicitar firma de caso aprobado y Webpay de pendiente_pago</x:v>
      </x:c>
      <x:c r="F23" s="10" t="str">
        <x:v>Capabilities false; rutas válidas devuelven 503 sin cobro ni firma. Al desarrollar, añadir pruebas específicas de integración</x:v>
      </x:c>
      <x:c r="G23" s="12" t="str">
        <x:v>No ejecutado</x:v>
      </x:c>
      <x:c r="H23" s="12" t="str"/>
      <x:c r="I23" s="12" t="str"/>
      <x:c r="J23" s="12" t="str">
        <x:v>Por asignar</x:v>
      </x:c>
      <x:c r="K23" s="14"/>
      <x:c r="L23" s="12" t="str"/>
    </x:row>
    <x:row r="24" ht="44" customHeight="1">
      <x:c r="A24" s="11" t="str">
        <x:v>CP-19</x:v>
      </x:c>
      <x:c r="B24" s="11" t="str">
        <x:v>RF-21</x:v>
      </x:c>
      <x:c r="C24" s="11" t="str">
        <x:v>Futuro</x:v>
      </x:c>
      <x:c r="D24" s="11" t="str">
        <x:v>Proveedor y sandbox acordados; documento aprobado</x:v>
      </x:c>
      <x:c r="E24" s="11" t="str">
        <x:v>Enviar a firma; simular fallo y callback repetido; descargar original y validar evidencia</x:v>
      </x:c>
      <x:c r="F24" s="11" t="str">
        <x:v>Solo respuesta verificada habilita firma; sin duplicados ni firmado en fallo; original y evidencia conservados</x:v>
      </x:c>
      <x:c r="G24" s="12" t="str">
        <x:v>No ejecutado</x:v>
      </x:c>
      <x:c r="H24" s="12" t="str"/>
      <x:c r="I24" s="12" t="str"/>
      <x:c r="J24" s="12" t="str">
        <x:v>Por asignar</x:v>
      </x:c>
      <x:c r="K24" s="14"/>
      <x:c r="L24" s="12" t="str"/>
    </x:row>
    <x:row r="25" ht="44" customHeight="1">
      <x:c r="A25" s="10" t="str">
        <x:v>CP-20</x:v>
      </x:c>
      <x:c r="B25" s="10" t="str">
        <x:v>RF-22</x:v>
      </x:c>
      <x:c r="C25" s="10" t="str">
        <x:v>Futuro</x:v>
      </x:c>
      <x:c r="D25" s="10" t="str">
        <x:v>Comercio y sandbox disponibles</x:v>
      </x:c>
      <x:c r="E25" s="10" t="str">
        <x:v>Crear pago; confirmar éxito, rechazo y callback repetido; manipular monto</x:v>
      </x:c>
      <x:c r="F25" s="10" t="str">
        <x:v>Importe verificado en servidor; rechazo sin aprobación; reintento no duplica ingresos</x:v>
      </x:c>
      <x:c r="G25" s="12" t="str">
        <x:v>No ejecutado</x:v>
      </x:c>
      <x:c r="H25" s="12" t="str"/>
      <x:c r="I25" s="12" t="str"/>
      <x:c r="J25" s="12" t="str">
        <x:v>Por asignar</x:v>
      </x:c>
      <x:c r="K25" s="14"/>
      <x:c r="L25" s="12" t="str"/>
    </x:row>
    <x:row r="26" ht="44" customHeight="1">
      <x:c r="A26" s="11" t="str">
        <x:v>CP-21</x:v>
      </x:c>
      <x:c r="B26" s="11" t="str">
        <x:v>RF-23</x:v>
      </x:c>
      <x:c r="C26" s="11" t="str">
        <x:v>Futuro</x:v>
      </x:c>
      <x:c r="D26" s="11" t="str">
        <x:v>Plantilla final aprobada y datos obligatorios definidos</x:v>
      </x:c>
      <x:c r="E26" s="11" t="str">
        <x:v>Generar PDF; omitir un campo obligatorio; comparar trámite y plantilla; descargar firmado si aplica</x:v>
      </x:c>
      <x:c r="F26" s="11" t="str">
        <x:v>PDF correcto; faltantes impiden emisión; original firmado verificable cuando se exige FEA</x:v>
      </x:c>
      <x:c r="G26" s="12" t="str">
        <x:v>No ejecutado</x:v>
      </x:c>
      <x:c r="H26" s="12" t="str"/>
      <x:c r="I26" s="12" t="str"/>
      <x:c r="J26" s="12" t="str">
        <x:v>Por asignar</x:v>
      </x:c>
      <x:c r="K26" s="14"/>
      <x:c r="L26" s="12" t="str"/>
    </x:row>
    <x:row r="27" ht="44" customHeight="1">
      <x:c r="A27" s="10" t="str">
        <x:v>CP-22</x:v>
      </x:c>
      <x:c r="B27" s="10" t="str">
        <x:v>RF-24</x:v>
      </x:c>
      <x:c r="C27" s="10" t="str">
        <x:v>Futuro</x:v>
      </x:c>
      <x:c r="D27" s="10" t="str">
        <x:v>Correo de prueba y política de recuperación definida</x:v>
      </x:c>
      <x:c r="E27" s="10" t="str">
        <x:v>Solicitar recuperación para correo existente e inexistente; usar token válido, vencido y reutilizado</x:v>
      </x:c>
      <x:c r="F27" s="10" t="str">
        <x:v>Respuesta pública no revela existencia; solo token vigente de un uso cambia clave; sesiones revocadas</x:v>
      </x:c>
      <x:c r="G27" s="12" t="str">
        <x:v>No ejecutado</x:v>
      </x:c>
      <x:c r="H27" s="12" t="str"/>
      <x:c r="I27" s="12" t="str"/>
      <x:c r="J27" s="12" t="str">
        <x:v>Por asignar</x:v>
      </x:c>
      <x:c r="K27" s="14"/>
      <x:c r="L27" s="12" t="str"/>
    </x:row>
  </x:sheetData>
  <x:conditionalFormatting sqref="G6:G27">
    <x:cfRule type="containsText" dxfId="10" priority="1" operator="containsText" text="Fallido"/>
  </x:conditionalFormatting>
  <x:dataValidations count="1">
    <x:dataValidation type="list" sqref="G6:G27">
      <x:formula1>"No ejecutado,Aprobado,Fallido,Bloqueado"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28f7c6a8fe64576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28" hidden="0" customWidth="1"/>
    <x:col min="3" max="3" width="20" hidden="0" customWidth="1"/>
    <x:col min="4" max="4" width="70" hidden="0" customWidth="1"/>
    <x:col min="5" max="5" width="25" hidden="0" customWidth="1"/>
    <x:col min="6" max="6" width="24" hidden="0" customWidth="1"/>
    <x:col min="7" max="7" width="20" hidden="0" customWidth="1"/>
    <x:col min="8" max="8" width="29" hidden="0" customWidth="1"/>
    <x:col min="9" max="9" width="60" hidden="0" customWidth="1"/>
    <x:col min="10" max="10" width="65" hidden="0" customWidth="1"/>
    <x:col min="11" max="11" width="60" hidden="0" customWidth="1"/>
    <x:col min="12" max="12" width="44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</x:row>
    <x:row r="2" ht="27" customHeight="1">
      <x:c r="A2" s="2" t="str">
        <x:v>Plan quincenal y registro de review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3" t="str">
        <x:v>Ingresar inicio de S1. Fechas derivadas usan 14 días corridos, sin calendario de feriados. Ajustar antes de comprometer con el equipo.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 ht="32" customHeight="1">
      <x:c r="A5" s="8" t="str">
        <x:v>Sprint</x:v>
      </x:c>
      <x:c r="B5" s="8" t="str">
        <x:v>Inicio</x:v>
      </x:c>
      <x:c r="C5" s="8" t="str">
        <x:v>Fin propuesto</x:v>
      </x:c>
      <x:c r="D5" s="8" t="str">
        <x:v>Objetivo</x:v>
      </x:c>
      <x:c r="E5" s="8" t="str">
        <x:v>Historias</x:v>
      </x:c>
      <x:c r="F5" s="8" t="str">
        <x:v>Tareas</x:v>
      </x:c>
      <x:c r="G5" s="8" t="str">
        <x:v>Review real</x:v>
      </x:c>
      <x:c r="H5" s="8" t="str">
        <x:v>Capacidad acordada</x:v>
      </x:c>
      <x:c r="I5" s="8" t="str">
        <x:v>Resultado de review</x:v>
      </x:c>
      <x:c r="J5" s="8" t="str">
        <x:v>Feedback y decisiones</x:v>
      </x:c>
      <x:c r="K5" s="8" t="str">
        <x:v>Mejora de retrospectiva</x:v>
      </x:c>
      <x:c r="L5" s="8" t="str">
        <x:v>Responsable y seguimiento</x:v>
      </x:c>
    </x:row>
    <x:row r="6" ht="44" customHeight="1">
      <x:c r="A6" s="11" t="str">
        <x:v>S1</x:v>
      </x:c>
      <x:c r="B6" s="14"/>
      <x:c r="C6" s="22" t="str">
        <x:f>IF(B6="","",B6+13)</x:f>
      </x:c>
      <x:c r="D6" s="11" t="str">
        <x:v>Acceso, solicitud y transferencia revisada</x:v>
      </x:c>
      <x:c r="E6" s="11" t="str">
        <x:v>HU-01 a HU-03</x:v>
      </x:c>
      <x:c r="F6" s="11" t="str">
        <x:v>T-01 a T-09</x:v>
      </x:c>
      <x:c r="G6" s="14"/>
      <x:c r="H6" s="12" t="str">
        <x:v>Por acordar</x:v>
      </x:c>
      <x:c r="I6" s="12" t="str"/>
      <x:c r="J6" s="12" t="str"/>
      <x:c r="K6" s="12" t="str"/>
      <x:c r="L6" s="12" t="str"/>
    </x:row>
    <x:row r="7" ht="44" customHeight="1">
      <x:c r="A7" s="10" t="str">
        <x:v>S2</x:v>
      </x:c>
      <x:c r="B7" s="23" t="str">
        <x:f>IF(B6="","",B6+14)</x:f>
      </x:c>
      <x:c r="C7" s="23" t="str">
        <x:f>IF(B7="","",B7+13)</x:f>
      </x:c>
      <x:c r="D7" s="10" t="str">
        <x:v>Borrador versionado y revisión documental</x:v>
      </x:c>
      <x:c r="E7" s="10" t="str">
        <x:v>HU-04 a HU-08</x:v>
      </x:c>
      <x:c r="F7" s="10" t="str">
        <x:v>T-10 a T-15</x:v>
      </x:c>
      <x:c r="G7" s="14"/>
      <x:c r="H7" s="12" t="str">
        <x:v>Por acordar</x:v>
      </x:c>
      <x:c r="I7" s="12" t="str"/>
      <x:c r="J7" s="12" t="str"/>
      <x:c r="K7" s="12" t="str"/>
      <x:c r="L7" s="12" t="str"/>
    </x:row>
    <x:row r="8" ht="44" customHeight="1">
      <x:c r="A8" s="11" t="str">
        <x:v>S3</x:v>
      </x:c>
      <x:c r="B8" s="22" t="str">
        <x:f>IF(B7="","",B7+14)</x:f>
      </x:c>
      <x:c r="C8" s="22" t="str">
        <x:f>IF(B8="","",B8+13)</x:f>
      </x:c>
      <x:c r="D8" s="11" t="str">
        <x:v>Administración, reportes y operación</x:v>
      </x:c>
      <x:c r="E8" s="11" t="str">
        <x:v>HU-09 a HU-12</x:v>
      </x:c>
      <x:c r="F8" s="11" t="str">
        <x:v>T-16 a T-20</x:v>
      </x:c>
      <x:c r="G8" s="14"/>
      <x:c r="H8" s="12" t="str">
        <x:v>Por acordar</x:v>
      </x:c>
      <x:c r="I8" s="12" t="str"/>
      <x:c r="J8" s="12" t="str"/>
      <x:c r="K8" s="12" t="str"/>
      <x:c r="L8" s="12" t="str"/>
    </x:row>
    <x:row r="11" ht="36" customHeight="1">
      <x:c r="A11" s="24" t="str">
        <x:v>Responsabilidad Scrum</x:v>
      </x:c>
      <x:c r="B11" s="24" t="str">
        <x:v>Designación</x:v>
      </x:c>
    </x:row>
    <x:row r="12" ht="36" customHeight="1">
      <x:c r="A12" s="24" t="str">
        <x:v>Product Owner</x:v>
      </x:c>
      <x:c r="B12" s="25" t="str">
        <x:v>Por designar</x:v>
      </x:c>
    </x:row>
    <x:row r="13" ht="36" customHeight="1">
      <x:c r="A13" s="24" t="str">
        <x:v>Scrum Master</x:v>
      </x:c>
      <x:c r="B13" s="25" t="str">
        <x:v>Por designar</x:v>
      </x:c>
    </x:row>
    <x:row r="14" ht="36" customHeight="1">
      <x:c r="A14" s="24" t="str">
        <x:v>Developers</x:v>
      </x:c>
      <x:c r="B14" s="25" t="str">
        <x:v>Completar integrantes y disponibilidad</x:v>
      </x:c>
    </x:row>
    <x:row r="15" ht="36" customHeight="1">
      <x:c r="A15" s="24" t="str">
        <x:v>Contraparte de negocio</x:v>
      </x:c>
      <x:c r="B15" s="25" t="str">
        <x:v>Por confirmar</x:v>
      </x:c>
    </x:row>
  </x:sheetData>
  <x:pageMargins left="0.7" right="0.7" top="0.75" bottom="0.75" header="0.3" footer="0.3"/>
  <x:tableParts count="1">
    <x:tablePart xmlns:r="http://schemas.openxmlformats.org/officeDocument/2006/relationships" r:id="R41723f589f864bb9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2" hidden="0" customWidth="1"/>
    <x:col min="2" max="2" width="31" hidden="0" customWidth="1"/>
    <x:col min="3" max="3" width="90" hidden="0" customWidth="1"/>
    <x:col min="4" max="4" width="44" hidden="0" customWidth="1"/>
    <x:col min="5" max="5" width="17" hidden="0" customWidth="1"/>
    <x:col min="6" max="6" width="20" hidden="0" customWidth="1"/>
    <x:col min="7" max="7" width="70" hidden="0" customWidth="1"/>
    <x:col min="8" max="8" width="20" hidden="0" customWidth="1"/>
    <x:col min="9" max="9" width="40" hidden="0" customWidth="1"/>
  </x:cols>
  <x:sheetData>
    <x:row r="1">
      <x:c r="A1" s="1"/>
      <x:c r="B1" s="1"/>
      <x:c r="C1" s="1"/>
      <x:c r="D1" s="1"/>
      <x:c r="E1" s="1"/>
      <x:c r="F1" s="1"/>
      <x:c r="G1" s="1"/>
      <x:c r="H1" s="1"/>
      <x:c r="I1" s="1"/>
    </x:row>
    <x:row r="2" ht="27" customHeight="1">
      <x:c r="A2" s="2" t="str">
        <x:v>Decisiones y bloqueos</x:v>
      </x:c>
      <x:c r="B2" s="1"/>
      <x:c r="C2" s="1"/>
      <x:c r="D2" s="1"/>
      <x:c r="E2" s="1"/>
      <x:c r="F2" s="1"/>
      <x:c r="G2" s="1"/>
      <x:c r="H2" s="1"/>
      <x:c r="I2" s="1"/>
    </x:row>
    <x:row r="3">
      <x:c r="A3" s="3" t="str">
        <x:v>Resolver con la contraparte indicada. Anotar acuerdo real y fecha; el texto inicial es una pregunta o definición pendiente.</x:v>
      </x:c>
      <x:c r="B3" s="1"/>
      <x:c r="C3" s="1"/>
      <x:c r="D3" s="1"/>
      <x:c r="E3" s="1"/>
      <x:c r="F3" s="1"/>
      <x:c r="G3" s="1"/>
      <x:c r="H3" s="1"/>
      <x:c r="I3" s="1"/>
    </x:row>
    <x:row r="4">
      <x:c r="A4" s="1"/>
      <x:c r="B4" s="1"/>
      <x:c r="C4" s="1"/>
      <x:c r="D4" s="1"/>
      <x:c r="E4" s="1"/>
      <x:c r="F4" s="1"/>
      <x:c r="G4" s="1"/>
      <x:c r="H4" s="1"/>
      <x:c r="I4" s="1"/>
    </x:row>
    <x:row r="5" ht="32" customHeight="1">
      <x:c r="A5" s="8" t="str">
        <x:v>ID</x:v>
      </x:c>
      <x:c r="B5" s="8" t="str">
        <x:v>Tema</x:v>
      </x:c>
      <x:c r="C5" s="8" t="str">
        <x:v>Definición requerida</x:v>
      </x:c>
      <x:c r="D5" s="8" t="str">
        <x:v>Quién debe resolver</x:v>
      </x:c>
      <x:c r="E5" s="8" t="str">
        <x:v>Antes de</x:v>
      </x:c>
      <x:c r="F5" s="8" t="str">
        <x:v>Estado</x:v>
      </x:c>
      <x:c r="G5" s="8" t="str">
        <x:v>Acuerdo o siguiente acción</x:v>
      </x:c>
      <x:c r="H5" s="8" t="str">
        <x:v>Fecha</x:v>
      </x:c>
      <x:c r="I5" s="8" t="str">
        <x:v>Evidencia</x:v>
      </x:c>
    </x:row>
    <x:row r="6" ht="44" customHeight="1">
      <x:c r="A6" s="11" t="str">
        <x:v>D-01</x:v>
      </x:c>
      <x:c r="B6" s="11" t="str">
        <x:v>Alcance del MVP</x:v>
      </x:c>
      <x:c r="C6" s="11" t="str">
        <x:v>Ratificar trámite documental y transferencia manual para próxima demo; qué servicios reales incluir.</x:v>
      </x:c>
      <x:c r="D6" s="11" t="str">
        <x:v>Representante Easy Office y Product Owner</x:v>
      </x:c>
      <x:c r="E6" s="11" t="str">
        <x:v>S1</x:v>
      </x:c>
      <x:c r="F6" s="12" t="str">
        <x:v>Pendiente</x:v>
      </x:c>
      <x:c r="G6" s="12" t="str"/>
      <x:c r="H6" s="14" t="str"/>
      <x:c r="I6" s="12" t="str"/>
    </x:row>
    <x:row r="7" ht="44" customHeight="1">
      <x:c r="A7" s="10" t="str">
        <x:v>D-02</x:v>
      </x:c>
      <x:c r="B7" s="10" t="str">
        <x:v>Calendario y capacidad</x:v>
      </x:c>
      <x:c r="C7" s="10" t="str">
        <x:v>Definir fecha de próxima revisión, disponibilidad y responsables. S1 significa próximo sprint, no historial.</x:v>
      </x:c>
      <x:c r="D7" s="10" t="str">
        <x:v>Equipo y docente</x:v>
      </x:c>
      <x:c r="E7" s="10" t="str">
        <x:v>S1</x:v>
      </x:c>
      <x:c r="F7" s="12" t="str">
        <x:v>Pendiente</x:v>
      </x:c>
      <x:c r="G7" s="12" t="str"/>
      <x:c r="H7" s="14" t="str"/>
      <x:c r="I7" s="12" t="str"/>
    </x:row>
    <x:row r="8" ht="44" customHeight="1">
      <x:c r="A8" s="11" t="str">
        <x:v>D-03</x:v>
      </x:c>
      <x:c r="B8" s="11" t="str">
        <x:v>Roles y permisos</x:v>
      </x:c>
      <x:c r="C8" s="11" t="str">
        <x:v>Confirmar permisos comerciales de búsqueda y cancelación; designar PO y Scrum Master.</x:v>
      </x:c>
      <x:c r="D8" s="11" t="str">
        <x:v>Easy Office y equipo</x:v>
      </x:c>
      <x:c r="E8" s="11" t="str">
        <x:v>S1</x:v>
      </x:c>
      <x:c r="F8" s="12" t="str">
        <x:v>Pendiente</x:v>
      </x:c>
      <x:c r="G8" s="12" t="str"/>
      <x:c r="H8" s="14" t="str"/>
      <x:c r="I8" s="12" t="str"/>
    </x:row>
    <x:row r="9" ht="44" customHeight="1">
      <x:c r="A9" s="10" t="str">
        <x:v>D-04</x:v>
      </x:c>
      <x:c r="B9" s="10" t="str">
        <x:v>Plantillas y antecedentes</x:v>
      </x:c>
      <x:c r="C9" s="10" t="str">
        <x:v>Obtener plantillas y planilla actual anonimizadas; definir campos obligatorios y ejemplos.</x:v>
      </x:c>
      <x:c r="D9" s="10" t="str">
        <x:v>Easy Office</x:v>
      </x:c>
      <x:c r="E9" s="10" t="str">
        <x:v>S2</x:v>
      </x:c>
      <x:c r="F9" s="12" t="str">
        <x:v>Pendiente</x:v>
      </x:c>
      <x:c r="G9" s="12" t="str"/>
      <x:c r="H9" s="14" t="str"/>
      <x:c r="I9" s="12" t="str"/>
    </x:row>
    <x:row r="10" ht="44" customHeight="1">
      <x:c r="A10" s="11" t="str">
        <x:v>D-05</x:v>
      </x:c>
      <x:c r="B10" s="11" t="str">
        <x:v>Firma electrónica</x:v>
      </x:c>
      <x:c r="C10" s="11" t="str">
        <x:v>Elegir proveedor, contrato API, sandbox, evidencia y responsables de validación.</x:v>
      </x:c>
      <x:c r="D10" s="11" t="str">
        <x:v>Easy Office</x:v>
      </x:c>
      <x:c r="E10" s="11" t="str">
        <x:v>Futuro</x:v>
      </x:c>
      <x:c r="F10" s="12" t="str">
        <x:v>Pendiente</x:v>
      </x:c>
      <x:c r="G10" s="12" t="str"/>
      <x:c r="H10" s="14" t="str"/>
      <x:c r="I10" s="12" t="str"/>
    </x:row>
    <x:row r="11" ht="44" customHeight="1">
      <x:c r="A11" s="10" t="str">
        <x:v>D-06</x:v>
      </x:c>
      <x:c r="B11" s="10" t="str">
        <x:v>Webpay</x:v>
      </x:c>
      <x:c r="C11" s="10" t="str">
        <x:v>Confirmar si pertenece al alcance y habilitar comercio y sandbox.</x:v>
      </x:c>
      <x:c r="D11" s="10" t="str">
        <x:v>Easy Office</x:v>
      </x:c>
      <x:c r="E11" s="10" t="str">
        <x:v>Futuro</x:v>
      </x:c>
      <x:c r="F11" s="12" t="str">
        <x:v>Pendiente</x:v>
      </x:c>
      <x:c r="G11" s="12" t="str"/>
      <x:c r="H11" s="14" t="str"/>
      <x:c r="I11" s="12" t="str"/>
    </x:row>
    <x:row r="12" ht="44" customHeight="1">
      <x:c r="A12" s="11" t="str">
        <x:v>D-07</x:v>
      </x:c>
      <x:c r="B12" s="11" t="str">
        <x:v>Motor y despliegue</x:v>
      </x:c>
      <x:c r="C12" s="11" t="str">
        <x:v>Ratificar SQLite para demo; revisar motor exigido, hosting, HTTPS, copias y persistencia.</x:v>
      </x:c>
      <x:c r="D12" s="11" t="str">
        <x:v>Equipo y docente</x:v>
      </x:c>
      <x:c r="E12" s="11" t="str">
        <x:v>S1</x:v>
      </x:c>
      <x:c r="F12" s="12" t="str">
        <x:v>Pendiente</x:v>
      </x:c>
      <x:c r="G12" s="12" t="str"/>
      <x:c r="H12" s="14" t="str"/>
      <x:c r="I12" s="12" t="str"/>
    </x:row>
    <x:row r="13" ht="44" customHeight="1">
      <x:c r="A13" s="10" t="str">
        <x:v>D-08</x:v>
      </x:c>
      <x:c r="B13" s="10" t="str">
        <x:v>Calendario financiero</x:v>
      </x:c>
      <x:c r="C13" s="10" t="str">
        <x:v>Definir si los reportes se agrupan por America/Santiago en lugar de UTC.</x:v>
      </x:c>
      <x:c r="D13" s="10" t="str">
        <x:v>Finanzas Easy Office</x:v>
      </x:c>
      <x:c r="E13" s="10" t="str">
        <x:v>S3</x:v>
      </x:c>
      <x:c r="F13" s="12" t="str">
        <x:v>Pendiente</x:v>
      </x:c>
      <x:c r="G13" s="12" t="str"/>
      <x:c r="H13" s="14" t="str"/>
      <x:c r="I13" s="12" t="str"/>
    </x:row>
    <x:row r="14" ht="44" customHeight="1">
      <x:c r="A14" s="11" t="str">
        <x:v>D-09</x:v>
      </x:c>
      <x:c r="B14" s="11" t="str">
        <x:v>Recuperación y privacidad</x:v>
      </x:c>
      <x:c r="C14" s="11" t="str">
        <x:v>Definir correo transaccional, retención, acceso a documentos y recuperación.</x:v>
      </x:c>
      <x:c r="D14" s="11" t="str">
        <x:v>Easy Office y equipo</x:v>
      </x:c>
      <x:c r="E14" s="11" t="str">
        <x:v>Futuro</x:v>
      </x:c>
      <x:c r="F14" s="12" t="str">
        <x:v>Pendiente</x:v>
      </x:c>
      <x:c r="G14" s="12" t="str"/>
      <x:c r="H14" s="14" t="str"/>
      <x:c r="I14" s="12" t="str"/>
    </x:row>
    <x:row r="15" ht="44" customHeight="1">
      <x:c r="A15" s="10" t="str">
        <x:v>D-10</x:v>
      </x:c>
      <x:c r="B15" s="10" t="str">
        <x:v>Identificadores anteriores</x:v>
      </x:c>
      <x:c r="C15" s="10" t="str">
        <x:v>Cotejar ERS previo si existe; se conservan RF-09 administración, RF-10 auditoría y RNF-04 aislamiento visibles en UI.</x:v>
      </x:c>
      <x:c r="D15" s="10" t="str">
        <x:v>Equipo</x:v>
      </x:c>
      <x:c r="E15" s="10" t="str">
        <x:v>S1</x:v>
      </x:c>
      <x:c r="F15" s="12" t="str">
        <x:v>Pendiente</x:v>
      </x:c>
      <x:c r="G15" s="12" t="str"/>
      <x:c r="H15" s="14" t="str"/>
      <x:c r="I15" s="12" t="str"/>
    </x:row>
  </x:sheetData>
  <x:dataValidations count="1">
    <x:dataValidation type="list" sqref="F6:F15">
      <x:formula1>"Pendiente,Resuelta,Descartada"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1c2102fee4e74abf"/>
  </x:tableParts>
</x:worksheet>
</file>